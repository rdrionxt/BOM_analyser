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0284C7"/>
      <sz val="10"/>
      <u val="single"/>
    </font>
    <font>
      <name val="Calibri"/>
      <b val="1"/>
      <sz val="11"/>
    </font>
    <font>
      <name val="Calibri"/>
      <b val="1"/>
      <color rgb="000F172A"/>
      <sz val="12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pivotButton="0" quotePrefix="0" xfId="0"/>
    <xf numFmtId="164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pivotButton="0" quotePrefix="0" xfId="0"/>
    <xf numFmtId="164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obu.in/?s=MM1Z3B3&amp;post_type=product" TargetMode="External" Id="rId1" /><Relationship Type="http://schemas.openxmlformats.org/officeDocument/2006/relationships/hyperlink" Target="https://www.sunrom.com/p/127mm-x5o-led-light-guide-straight" TargetMode="External" Id="rId2" /><Relationship Type="http://schemas.openxmlformats.org/officeDocument/2006/relationships/hyperlink" Target="https://www.electronicscomp.com/search?search=0.47uH%20inductor" TargetMode="External" Id="rId3" /><Relationship Type="http://schemas.openxmlformats.org/officeDocument/2006/relationships/hyperlink" Target="https://robu.in/?s=22R+resistor&amp;post_type=product" TargetMode="External" Id="rId4" /><Relationship Type="http://schemas.openxmlformats.org/officeDocument/2006/relationships/hyperlink" Target="https://robu.in/?s=100K+resistor&amp;post_type=product" TargetMode="External" Id="rId5" /><Relationship Type="http://schemas.openxmlformats.org/officeDocument/2006/relationships/hyperlink" Target="https://www.sunrom.com/search?q=0.1uf+0603" TargetMode="External" Id="rId6" /><Relationship Type="http://schemas.openxmlformats.org/officeDocument/2006/relationships/hyperlink" Target="https://www.sunrom.com/search?q=0.1uf+0603" TargetMode="External" Id="rId7" /><Relationship Type="http://schemas.openxmlformats.org/officeDocument/2006/relationships/hyperlink" Target="https://www.sunrom.com/search?q=0R+0603" TargetMode="External" Id="rId8" /><Relationship Type="http://schemas.openxmlformats.org/officeDocument/2006/relationships/hyperlink" Target="https://www.sunrom.com/search?q=0R+0603" TargetMode="External" Id="rId9" /><Relationship Type="http://schemas.openxmlformats.org/officeDocument/2006/relationships/hyperlink" Target="https://www.sunrom.com/search?q=0R+0603" TargetMode="External" Id="rId10" /><Relationship Type="http://schemas.openxmlformats.org/officeDocument/2006/relationships/hyperlink" Target="https://robu.in/?s=STL6P3LLH6&amp;post_type=product" TargetMode="External" Id="rId11" /><Relationship Type="http://schemas.openxmlformats.org/officeDocument/2006/relationships/hyperlink" Target="https://robu.in/search/?q=ferrite+bead" TargetMode="External" Id="rId12" /><Relationship Type="http://schemas.openxmlformats.org/officeDocument/2006/relationships/hyperlink" Target="https://www.sunrom.com/search?q=0R+0603" TargetMode="External" Id="rId13" /><Relationship Type="http://schemas.openxmlformats.org/officeDocument/2006/relationships/hyperlink" Target="https://www.electronicscomp.com/search?search=0.47uH%20inductor" TargetMode="External" Id="rId14" /><Relationship Type="http://schemas.openxmlformats.org/officeDocument/2006/relationships/hyperlink" Target="https://www.electronicscomp.com/search?search=0.47uH%20inductor" TargetMode="External" Id="rId15" /><Relationship Type="http://schemas.openxmlformats.org/officeDocument/2006/relationships/hyperlink" Target="https://www.sunrom.com/search?q=0.1uf+0603" TargetMode="External" Id="rId16" /><Relationship Type="http://schemas.openxmlformats.org/officeDocument/2006/relationships/hyperlink" Target="https://www.sunrom.com/search?q=0.1uf+0603" TargetMode="External" Id="rId17" /><Relationship Type="http://schemas.openxmlformats.org/officeDocument/2006/relationships/hyperlink" Target="https://www.sunrom.com/search?q=0R+0603" TargetMode="External" Id="rId18" /><Relationship Type="http://schemas.openxmlformats.org/officeDocument/2006/relationships/hyperlink" Target="https://www.sunrom.com/search?q=0.1uf+0603" TargetMode="External" Id="rId19" /><Relationship Type="http://schemas.openxmlformats.org/officeDocument/2006/relationships/hyperlink" Target="https://robu.in/?s=8MH+20ppm+X5030&amp;post_type=product" TargetMode="External" Id="rId20" /><Relationship Type="http://schemas.openxmlformats.org/officeDocument/2006/relationships/hyperlink" Target="https://www.sunrom.com/search?q=0.1uf+0603" TargetMode="External" Id="rId21" /><Relationship Type="http://schemas.openxmlformats.org/officeDocument/2006/relationships/hyperlink" Target="https://www.sunrom.com/search?q=0.1uf+0603" TargetMode="External" Id="rId22" /><Relationship Type="http://schemas.openxmlformats.org/officeDocument/2006/relationships/hyperlink" Target="https://www.sunrom.com/search?q=0R+0603" TargetMode="External" Id="rId23" /><Relationship Type="http://schemas.openxmlformats.org/officeDocument/2006/relationships/hyperlink" Target="https://www.sunrom.com/search?q=0R+0603" TargetMode="External" Id="rId24" /><Relationship Type="http://schemas.openxmlformats.org/officeDocument/2006/relationships/hyperlink" Target="https://robu.in/?s=STM32F446RETx&amp;post_type=product" TargetMode="External" Id="rId25" /><Relationship Type="http://schemas.openxmlformats.org/officeDocument/2006/relationships/hyperlink" Target="https://www.sunrom.com/search?q=0R+0603" TargetMode="External" Id="rId26" /><Relationship Type="http://schemas.openxmlformats.org/officeDocument/2006/relationships/hyperlink" Target="https://www.sunrom.com/search?q=0.1uf+0603" TargetMode="External" Id="rId27" /><Relationship Type="http://schemas.openxmlformats.org/officeDocument/2006/relationships/hyperlink" Target="https://www.sunrom.com/search?q=0.1uf+0603" TargetMode="External" Id="rId28" /><Relationship Type="http://schemas.openxmlformats.org/officeDocument/2006/relationships/hyperlink" Target="https://robu.in/?s=SW+Push&amp;post_type=product" TargetMode="External" Id="rId29" /><Relationship Type="http://schemas.openxmlformats.org/officeDocument/2006/relationships/hyperlink" Target="https://robu.in/?s=MPQ3425DL+AEC1+LF+Z&amp;post_type=product" TargetMode="External" Id="rId30" /><Relationship Type="http://schemas.openxmlformats.org/officeDocument/2006/relationships/hyperlink" Target="https://robu.in/?s=LED&amp;post_type=product" TargetMode="External" Id="rId31" /><Relationship Type="http://schemas.openxmlformats.org/officeDocument/2006/relationships/hyperlink" Target="https://www.sunrom.com/search?q=0.1uf+0603" TargetMode="External" Id="rId32" /><Relationship Type="http://schemas.openxmlformats.org/officeDocument/2006/relationships/hyperlink" Target="https://www.sunrom.com/search?q=0R+0603" TargetMode="External" Id="rId33" /><Relationship Type="http://schemas.openxmlformats.org/officeDocument/2006/relationships/hyperlink" Target="https://www.sunrom.com/search?q=0R+0603" TargetMode="External" Id="rId34" /><Relationship Type="http://schemas.openxmlformats.org/officeDocument/2006/relationships/hyperlink" Target="https://www.sunrom.com/search?q=0R+0603" TargetMode="External" Id="rId35" /><Relationship Type="http://schemas.openxmlformats.org/officeDocument/2006/relationships/hyperlink" Target="https://www.sunrom.com/search?q=0.1uf+0603" TargetMode="External" Id="rId36" /><Relationship Type="http://schemas.openxmlformats.org/officeDocument/2006/relationships/hyperlink" Target="https://www.sunrom.com/search?q=0R+0603" TargetMode="External" Id="rId37" /><Relationship Type="http://schemas.openxmlformats.org/officeDocument/2006/relationships/hyperlink" Target="https://www.sunrom.com/search?q=0.1uf+0603" TargetMode="External" Id="rId38" /><Relationship Type="http://schemas.openxmlformats.org/officeDocument/2006/relationships/hyperlink" Target="https://www.sunrom.com/search?q=0R+0603" TargetMode="External" Id="rId39" /><Relationship Type="http://schemas.openxmlformats.org/officeDocument/2006/relationships/hyperlink" Target="https://www.sunrom.com/p/33nf-332-0603-1608-metric-50v-x7r-mlcc-smd" TargetMode="External" Id="rId40" /><Relationship Type="http://schemas.openxmlformats.org/officeDocument/2006/relationships/hyperlink" Target="https://www.sunrom.com/search?q=0.1uf+0603" TargetMode="External" Id="rId41" /><Relationship Type="http://schemas.openxmlformats.org/officeDocument/2006/relationships/hyperlink" Target="https://robu.in/?s=54+00174&amp;post_type=product" TargetMode="External" Id="rId42" /><Relationship Type="http://schemas.openxmlformats.org/officeDocument/2006/relationships/hyperlink" Target="https://www.sunrom.com/search?q=0.1uf+0603" TargetMode="External" Id="rId43" /><Relationship Type="http://schemas.openxmlformats.org/officeDocument/2006/relationships/hyperlink" Target="https://robu.in/?s=Crystal+GND24&amp;post_type=product" TargetMode="External" Id="rId44" /><Relationship Type="http://schemas.openxmlformats.org/officeDocument/2006/relationships/hyperlink" Target="https://robu.in/?s=BC847+SOT+23&amp;post_type=product" TargetMode="External" Id="rId45" /><Relationship Type="http://schemas.openxmlformats.org/officeDocument/2006/relationships/hyperlink" Target="https://www.sunrom.com/search?q=0R+0603" TargetMode="External" Id="rId46" /><Relationship Type="http://schemas.openxmlformats.org/officeDocument/2006/relationships/hyperlink" Target="https://www.sunrom.com/search?q=0R+0603" TargetMode="External" Id="rId47" /><Relationship Type="http://schemas.openxmlformats.org/officeDocument/2006/relationships/hyperlink" Target="https://robu.in/?s=SS34&amp;post_type=product" TargetMode="External" Id="rId48" /><Relationship Type="http://schemas.openxmlformats.org/officeDocument/2006/relationships/hyperlink" Target="https://www.sunrom.com/search?q=0R+0603" TargetMode="External" Id="rId49" /><Relationship Type="http://schemas.openxmlformats.org/officeDocument/2006/relationships/hyperlink" Target="https://www.sunrom.com/search?q=0R+0603" TargetMode="External" Id="rId50" /><Relationship Type="http://schemas.openxmlformats.org/officeDocument/2006/relationships/hyperlink" Target="https://www.sunrom.com/search?q=0.1uf+0603" TargetMode="External" Id="rId51" /><Relationship Type="http://schemas.openxmlformats.org/officeDocument/2006/relationships/hyperlink" Target="https://robu.in/?s=100K+resistor&amp;post_type=product" TargetMode="External" Id="rId52" /><Relationship Type="http://schemas.openxmlformats.org/officeDocument/2006/relationships/hyperlink" Target="https://www.sunrom.com/search?q=0R+0603" TargetMode="External" Id="rId53" /><Relationship Type="http://schemas.openxmlformats.org/officeDocument/2006/relationships/hyperlink" Target="https://www.sunrom.com/search?q=0R+0603" TargetMode="External" Id="rId54" /><Relationship Type="http://schemas.openxmlformats.org/officeDocument/2006/relationships/hyperlink" Target="https://robu.in/?s=TPS63700DRCR&amp;post_type=product" TargetMode="External" Id="rId55" /><Relationship Type="http://schemas.openxmlformats.org/officeDocument/2006/relationships/hyperlink" Target="https://robu.in/?s=Conn+01x02+Pin&amp;post_type=product" TargetMode="External" Id="rId56" /><Relationship Type="http://schemas.openxmlformats.org/officeDocument/2006/relationships/hyperlink" Target="https://www.sunrom.com/search?q=0.1uf+0603" TargetMode="External" Id="rId57" /><Relationship Type="http://schemas.openxmlformats.org/officeDocument/2006/relationships/hyperlink" Target="https://www.sunrom.com/search?q=0R+0603" TargetMode="External" Id="rId58" /><Relationship Type="http://schemas.openxmlformats.org/officeDocument/2006/relationships/hyperlink" Target="https://robu.in/?s=Conn+01x04+Pin&amp;post_type=product" TargetMode="External" Id="rId59" /><Relationship Type="http://schemas.openxmlformats.org/officeDocument/2006/relationships/hyperlink" Target="https://www.sunrom.com/search?q=0.1uf+0603" TargetMode="External" Id="rId60" /><Relationship Type="http://schemas.openxmlformats.org/officeDocument/2006/relationships/hyperlink" Target="https://www.sunrom.com/search?q=0R+0603" TargetMode="External" Id="rId61" /><Relationship Type="http://schemas.openxmlformats.org/officeDocument/2006/relationships/hyperlink" Target="https://robu.in/?s=BQ25306RTER&amp;post_type=product" TargetMode="External" Id="rId62" /><Relationship Type="http://schemas.openxmlformats.org/officeDocument/2006/relationships/hyperlink" Target="https://robu.in/?s=Conn+01x04+Pin&amp;post_type=product" TargetMode="External" Id="rId63" /><Relationship Type="http://schemas.openxmlformats.org/officeDocument/2006/relationships/hyperlink" Target="https://robu.in/?s=Conn+01x02+Pin&amp;post_type=product" TargetMode="External" Id="rId64" /><Relationship Type="http://schemas.openxmlformats.org/officeDocument/2006/relationships/hyperlink" Target="https://www.sunrom.com/search?q=0R+0603" TargetMode="External" Id="rId65" /><Relationship Type="http://schemas.openxmlformats.org/officeDocument/2006/relationships/hyperlink" Target="https://robu.in/?s=NRJ4HH+1&amp;post_type=product" TargetMode="External" Id="rId66" /><Relationship Type="http://schemas.openxmlformats.org/officeDocument/2006/relationships/hyperlink" Target="https://robu.in/?s=OPA1622&amp;post_type=product" TargetMode="External" Id="rId67" /><Relationship Type="http://schemas.openxmlformats.org/officeDocument/2006/relationships/hyperlink" Target="https://robu.in/?s=USB+B1HSB6&amp;post_type=product" TargetMode="External" Id="rId68" /><Relationship Type="http://schemas.openxmlformats.org/officeDocument/2006/relationships/hyperlink" Target="https://robu.in/?s=SL02&amp;post_type=product" TargetMode="External" Id="rId69" /><Relationship Type="http://schemas.openxmlformats.org/officeDocument/2006/relationships/hyperlink" Target="https://www.sunrom.com/search?q=0.1uf+0603" TargetMode="External" Id="rId70" /><Relationship Type="http://schemas.openxmlformats.org/officeDocument/2006/relationships/hyperlink" Target="https://www.sunrom.com/search?q=0R+0603" TargetMode="External" Id="rId71" /><Relationship Type="http://schemas.openxmlformats.org/officeDocument/2006/relationships/hyperlink" Target="https://robu.in/?s=FM25CL64B+G&amp;post_type=product" TargetMode="External" Id="rId72" /><Relationship Type="http://schemas.openxmlformats.org/officeDocument/2006/relationships/hyperlink" Target="https://robu.in/?s=TPS564252DRLR&amp;post_type=product" TargetMode="External" Id="rId73" /><Relationship Type="http://schemas.openxmlformats.org/officeDocument/2006/relationships/hyperlink" Target="https://www.sunrom.com/search?q=0R+0603" TargetMode="External" Id="rId74" /><Relationship Type="http://schemas.openxmlformats.org/officeDocument/2006/relationships/hyperlink" Target="https://www.sunrom.com/search?q=0R+0603" TargetMode="External" Id="rId75" /><Relationship Type="http://schemas.openxmlformats.org/officeDocument/2006/relationships/hyperlink" Target="https://robu.in/?s=Jack+DC&amp;post_type=product" TargetMode="External" Id="rId76" /><Relationship Type="http://schemas.openxmlformats.org/officeDocument/2006/relationships/hyperlink" Target="https://robu.in/?s=ISO6521DR&amp;post_type=product" TargetMode="External" Id="rId77" /><Relationship Type="http://schemas.openxmlformats.org/officeDocument/2006/relationships/hyperlink" Target="https://robu.in/?s=D3V3XA4B10LP&amp;post_type=product" TargetMode="External" Id="rId78" /><Relationship Type="http://schemas.openxmlformats.org/officeDocument/2006/relationships/hyperlink" Target="https://www.sunrom.com/search?q=0R+0603" TargetMode="External" Id="rId79" /><Relationship Type="http://schemas.openxmlformats.org/officeDocument/2006/relationships/hyperlink" Target="https://robu.in/?s=1048&amp;post_type=product" TargetMode="External" Id="rId80" /><Relationship Type="http://schemas.openxmlformats.org/officeDocument/2006/relationships/hyperlink" Target="https://www.sunrom.com/search?q=0R+0603" TargetMode="External" Id="rId81" /><Relationship Type="http://schemas.openxmlformats.org/officeDocument/2006/relationships/hyperlink" Target="https://www.sunrom.com/search?q=0R+0603" TargetMode="External" Id="rId82" /><Relationship Type="http://schemas.openxmlformats.org/officeDocument/2006/relationships/hyperlink" Target="https://www.sunrom.com/search?q=0.1uf+0603" TargetMode="External" Id="rId83" /><Relationship Type="http://schemas.openxmlformats.org/officeDocument/2006/relationships/hyperlink" Target="https://www.sunrom.com/search?q=0.1uf+0603" TargetMode="External" Id="rId84" /><Relationship Type="http://schemas.openxmlformats.org/officeDocument/2006/relationships/hyperlink" Target="https://robu.in/?s=VRB1205YMD+5WR3&amp;post_type=product" TargetMode="External" Id="rId85" /><Relationship Type="http://schemas.openxmlformats.org/officeDocument/2006/relationships/hyperlink" Target="https://www.sunrom.com/search?q=0R+0603" TargetMode="External" Id="rId86" /><Relationship Type="http://schemas.openxmlformats.org/officeDocument/2006/relationships/hyperlink" Target="https://www.sunrom.com/search?q=0.1uf+0603" TargetMode="External" Id="rId87" /><Relationship Type="http://schemas.openxmlformats.org/officeDocument/2006/relationships/hyperlink" Target="https://www.sunrom.com/search?q=0.1uf+0603" TargetMode="External" Id="rId88" /><Relationship Type="http://schemas.openxmlformats.org/officeDocument/2006/relationships/hyperlink" Target="https://www.sunrom.com/search?q=0.1uf+0603" TargetMode="External" Id="rId89" /><Relationship Type="http://schemas.openxmlformats.org/officeDocument/2006/relationships/hyperlink" Target="https://robu.in/?s=MAX4466EXK+T&amp;post_type=product" TargetMode="External" Id="rId90" /><Relationship Type="http://schemas.openxmlformats.org/officeDocument/2006/relationships/hyperlink" Target="https://www.sunrom.com/search?q=0R+0603" TargetMode="External" Id="rId91" /><Relationship Type="http://schemas.openxmlformats.org/officeDocument/2006/relationships/hyperlink" Target="https://robu.in/?s=NX5L2750CGUX&amp;post_type=product" TargetMode="External" Id="rId92" /><Relationship Type="http://schemas.openxmlformats.org/officeDocument/2006/relationships/hyperlink" Target="https://robu.in/?s=Conn+02x10+Odd+Even&amp;post_type=product" TargetMode="External" Id="rId93" /><Relationship Type="http://schemas.openxmlformats.org/officeDocument/2006/relationships/hyperlink" Target="https://robu.in/?s=CH340G&amp;post_type=product" TargetMode="External" Id="rId94" /><Relationship Type="http://schemas.openxmlformats.org/officeDocument/2006/relationships/hyperlink" Target="https://robu.in/?s=PCM5102A&amp;post_type=product" TargetMode="External" Id="rId95" /><Relationship Type="http://schemas.openxmlformats.org/officeDocument/2006/relationships/hyperlink" Target="https://robu.in/?s=Micro+SD+Card&amp;post_type=product" TargetMode="External" Id="rId96" /><Relationship Type="http://schemas.openxmlformats.org/officeDocument/2006/relationships/hyperlink" Target="https://www.sunrom.com/search?q=0.1uf+0603" TargetMode="External" Id="rId97" /><Relationship Type="http://schemas.openxmlformats.org/officeDocument/2006/relationships/hyperlink" Target="https://robu.in/?s=PGA2311U&amp;post_type=product" TargetMode="External" Id="rId98" /><Relationship Type="http://schemas.openxmlformats.org/officeDocument/2006/relationships/hyperlink" Target="https://www.electronicscomp.com/search?search=0.47uH%20inductor" TargetMode="External" Id="rId9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8" customWidth="1" min="3" max="3"/>
    <col width="26" customWidth="1" min="4" max="4"/>
    <col width="10" customWidth="1" min="5" max="5"/>
    <col width="18" customWidth="1" min="6" max="6"/>
    <col width="20" customWidth="1" min="7" max="7"/>
    <col width="16" customWidth="1" min="8" max="8"/>
    <col width="18" customWidth="1" min="9" max="9"/>
    <col width="22" customWidth="1" min="10" max="10"/>
  </cols>
  <sheetData>
    <row r="1" ht="36" customHeight="1">
      <c r="A1" s="1" t="inlineStr">
        <is>
          <t>Turnkey PCBA - Enriched Bill of Materials (AX60_V1_GERBER)</t>
        </is>
      </c>
    </row>
    <row r="2" ht="20" customHeight="1">
      <c r="A2" s="2" t="inlineStr">
        <is>
          <t>Total Unique Lines: 102   |   Preferred Suppliers: ROBU, SUNROM, ELECTRONICSCOMP   |   Total BOM Unit Cost: ₹609.86</t>
        </is>
      </c>
    </row>
    <row r="4" ht="28" customHeight="1">
      <c r="A4" s="3" t="inlineStr">
        <is>
          <t>Item #</t>
        </is>
      </c>
      <c r="B4" s="3" t="inlineStr">
        <is>
          <t>Designator (RefDes)</t>
        </is>
      </c>
      <c r="C4" s="3" t="inlineStr">
        <is>
          <t>Description / Value</t>
        </is>
      </c>
      <c r="D4" s="3" t="inlineStr">
        <is>
          <t>Footprint / Package</t>
        </is>
      </c>
      <c r="E4" s="3" t="inlineStr">
        <is>
          <t>Qty</t>
        </is>
      </c>
      <c r="F4" s="3" t="inlineStr">
        <is>
          <t>Selected Supplier</t>
        </is>
      </c>
      <c r="G4" s="3" t="inlineStr">
        <is>
          <t>Supplier Part # (SKU)</t>
        </is>
      </c>
      <c r="H4" s="3" t="inlineStr">
        <is>
          <t>Unit Price (INR)</t>
        </is>
      </c>
      <c r="I4" s="3" t="inlineStr">
        <is>
          <t>Line Total (INR)</t>
        </is>
      </c>
      <c r="J4" s="3" t="inlineStr">
        <is>
          <t>Part Web Link</t>
        </is>
      </c>
    </row>
    <row r="5" ht="20" customHeight="1">
      <c r="A5" s="4" t="n">
        <v>1</v>
      </c>
      <c r="B5" s="5" t="inlineStr">
        <is>
          <t>D5</t>
        </is>
      </c>
      <c r="C5" s="5" t="inlineStr">
        <is>
          <t>MM1Z3B3 (zenor - 3.3V)</t>
        </is>
      </c>
      <c r="D5" s="5" t="inlineStr">
        <is>
          <t>Nexperia_CFP3_SOD-123W</t>
        </is>
      </c>
      <c r="E5" s="4" t="n">
        <v>1</v>
      </c>
      <c r="F5" s="5" t="inlineStr">
        <is>
          <t>Robu.in</t>
        </is>
      </c>
      <c r="G5" s="5" t="inlineStr">
        <is>
          <t>ROBU-MM1Z3B3</t>
        </is>
      </c>
      <c r="H5" s="6" t="n">
        <v>1.2</v>
      </c>
      <c r="I5" s="6">
        <f>E5*H5</f>
        <v/>
      </c>
      <c r="J5" s="7" t="inlineStr">
        <is>
          <t>Click to View Part</t>
        </is>
      </c>
    </row>
    <row r="6" ht="20" customHeight="1">
      <c r="A6" s="8" t="n">
        <v>2</v>
      </c>
      <c r="B6" s="9" t="inlineStr">
        <is>
          <t>JP6,JP10,JP9,JP12,JP1,JP2,JP8,JP11,JP7</t>
        </is>
      </c>
      <c r="C6" s="9" t="inlineStr">
        <is>
          <t>Jumper_2_Open</t>
        </is>
      </c>
      <c r="D6" s="9" t="inlineStr">
        <is>
          <t>SolderJumper-2_P1.3mm_Open_RoundedPad1.0x1.5mm</t>
        </is>
      </c>
      <c r="E6" s="8" t="n">
        <v>9</v>
      </c>
      <c r="F6" s="9" t="inlineStr">
        <is>
          <t>N/A (Virtual)</t>
        </is>
      </c>
      <c r="G6" s="9" t="inlineStr">
        <is>
          <t>N/A</t>
        </is>
      </c>
      <c r="H6" s="10" t="n">
        <v>0</v>
      </c>
      <c r="I6" s="10">
        <f>E6*H6</f>
        <v/>
      </c>
      <c r="J6" s="8" t="inlineStr">
        <is>
          <t>N/A</t>
        </is>
      </c>
    </row>
    <row r="7" ht="20" customHeight="1">
      <c r="A7" s="4" t="n">
        <v>3</v>
      </c>
      <c r="B7" s="5" t="inlineStr">
        <is>
          <t>IC6,IC1,IC3,IC2</t>
        </is>
      </c>
      <c r="C7" s="5" t="inlineStr">
        <is>
          <t>AP7366EA-33W5-7</t>
        </is>
      </c>
      <c r="D7" s="5" t="inlineStr">
        <is>
          <t>SOT-23-5</t>
        </is>
      </c>
      <c r="E7" s="4" t="n">
        <v>4</v>
      </c>
      <c r="F7" s="5" t="inlineStr">
        <is>
          <t>Sunrom</t>
        </is>
      </c>
      <c r="G7" s="5" t="inlineStr">
        <is>
          <t>SR-8151</t>
        </is>
      </c>
      <c r="H7" s="6" t="n">
        <v>13</v>
      </c>
      <c r="I7" s="6">
        <f>E7*H7</f>
        <v/>
      </c>
      <c r="J7" s="7" t="inlineStr">
        <is>
          <t>Click to View Part</t>
        </is>
      </c>
    </row>
    <row r="8" ht="20" customHeight="1">
      <c r="A8" s="8" t="n">
        <v>4</v>
      </c>
      <c r="B8" s="9" t="inlineStr">
        <is>
          <t>L2,L3</t>
        </is>
      </c>
      <c r="C8" s="9" t="inlineStr">
        <is>
          <t>0.47uH</t>
        </is>
      </c>
      <c r="D8" s="9" t="inlineStr">
        <is>
          <t>L_APV_ANR3012</t>
        </is>
      </c>
      <c r="E8" s="8" t="n">
        <v>2</v>
      </c>
      <c r="F8" s="9" t="inlineStr">
        <is>
          <t>ElectronicsComp</t>
        </is>
      </c>
      <c r="G8" s="9" t="inlineStr">
        <is>
          <t>EC-IND-0R47</t>
        </is>
      </c>
      <c r="H8" s="10" t="n">
        <v>6.8</v>
      </c>
      <c r="I8" s="10">
        <f>E8*H8</f>
        <v/>
      </c>
      <c r="J8" s="11" t="inlineStr">
        <is>
          <t>Click to View Part</t>
        </is>
      </c>
    </row>
    <row r="9" ht="20" customHeight="1">
      <c r="A9" s="4" t="n">
        <v>5</v>
      </c>
      <c r="B9" s="5" t="inlineStr">
        <is>
          <t>R24,R22,R21,R23</t>
        </is>
      </c>
      <c r="C9" s="5" t="inlineStr">
        <is>
          <t>22R</t>
        </is>
      </c>
      <c r="D9" s="5" t="inlineStr">
        <is>
          <t>R_0603_1608Metric</t>
        </is>
      </c>
      <c r="E9" s="4" t="n">
        <v>4</v>
      </c>
      <c r="F9" s="5" t="inlineStr">
        <is>
          <t>Robu.in</t>
        </is>
      </c>
      <c r="G9" s="5" t="inlineStr">
        <is>
          <t>ROBU-22RRESISTO</t>
        </is>
      </c>
      <c r="H9" s="6" t="n">
        <v>0.4</v>
      </c>
      <c r="I9" s="6">
        <f>E9*H9</f>
        <v/>
      </c>
      <c r="J9" s="7" t="inlineStr">
        <is>
          <t>Click to View Part</t>
        </is>
      </c>
    </row>
    <row r="10" ht="20" customHeight="1">
      <c r="A10" s="8" t="n">
        <v>6</v>
      </c>
      <c r="B10" s="9" t="inlineStr">
        <is>
          <t>TP9,TP3,TP4,TP5,TP1,TP13,TP16,TP2,TP6,TP10,TP12,TP15,TP8,TP11,TP20,TP7,TP17,TP18,TP14,TP19</t>
        </is>
      </c>
      <c r="C10" s="9" t="inlineStr">
        <is>
          <t>TestPoint</t>
        </is>
      </c>
      <c r="D10" s="9" t="inlineStr">
        <is>
          <t>TestPoint_Pad_D2.0mm</t>
        </is>
      </c>
      <c r="E10" s="8" t="n">
        <v>20</v>
      </c>
      <c r="F10" s="9" t="inlineStr">
        <is>
          <t>N/A (Virtual)</t>
        </is>
      </c>
      <c r="G10" s="9" t="inlineStr">
        <is>
          <t>N/A</t>
        </is>
      </c>
      <c r="H10" s="10" t="n">
        <v>0</v>
      </c>
      <c r="I10" s="10">
        <f>E10*H10</f>
        <v/>
      </c>
      <c r="J10" s="8" t="inlineStr">
        <is>
          <t>N/A</t>
        </is>
      </c>
    </row>
    <row r="11" ht="20" customHeight="1">
      <c r="A11" s="4" t="n">
        <v>7</v>
      </c>
      <c r="B11" s="5" t="inlineStr">
        <is>
          <t>RV1</t>
        </is>
      </c>
      <c r="C11" s="5" t="inlineStr">
        <is>
          <t>100K</t>
        </is>
      </c>
      <c r="D11" s="5" t="inlineStr">
        <is>
          <t>Potentiometer_Bourns_3296W_Vertical</t>
        </is>
      </c>
      <c r="E11" s="4" t="n">
        <v>1</v>
      </c>
      <c r="F11" s="5" t="inlineStr">
        <is>
          <t>Robu.in</t>
        </is>
      </c>
      <c r="G11" s="5" t="inlineStr">
        <is>
          <t>ROBU-100KRESIST</t>
        </is>
      </c>
      <c r="H11" s="6" t="n">
        <v>0.4</v>
      </c>
      <c r="I11" s="6">
        <f>E11*H11</f>
        <v/>
      </c>
      <c r="J11" s="7" t="inlineStr">
        <is>
          <t>Click to View Part</t>
        </is>
      </c>
    </row>
    <row r="12" ht="20" customHeight="1">
      <c r="A12" s="8" t="n">
        <v>8</v>
      </c>
      <c r="B12" s="9" t="inlineStr">
        <is>
          <t>C85,C48,C31,C99,C91,C35,C47,C14,C22,C33,C28,C71,C65,C38,C32,C81,C90,C24,C26,C86,C23,C80,C70,C98</t>
        </is>
      </c>
      <c r="C12" s="9" t="inlineStr">
        <is>
          <t>10uF</t>
        </is>
      </c>
      <c r="D12" s="9" t="inlineStr">
        <is>
          <t>C_0603_1608Metric</t>
        </is>
      </c>
      <c r="E12" s="8" t="n">
        <v>24</v>
      </c>
      <c r="F12" s="9" t="inlineStr">
        <is>
          <t>Sunrom</t>
        </is>
      </c>
      <c r="G12" s="9" t="inlineStr">
        <is>
          <t>SR-CAP-104</t>
        </is>
      </c>
      <c r="H12" s="10" t="n">
        <v>0.65</v>
      </c>
      <c r="I12" s="10">
        <f>E12*H12</f>
        <v/>
      </c>
      <c r="J12" s="11" t="inlineStr">
        <is>
          <t>Click to View Part</t>
        </is>
      </c>
    </row>
    <row r="13" ht="20" customHeight="1">
      <c r="A13" s="4" t="n">
        <v>9</v>
      </c>
      <c r="B13" s="5" t="inlineStr">
        <is>
          <t>C50,C7,C97,C29,C30,C95,C88,C68,C102,C58,C6,C83,C27,C13,C34,C4,C20,C103,C25,C64,C40,C44,C15,C5,C49,C21,C69,C8,C39,C12</t>
        </is>
      </c>
      <c r="C13" s="5" t="inlineStr">
        <is>
          <t>0.1uF</t>
        </is>
      </c>
      <c r="D13" s="5" t="inlineStr">
        <is>
          <t>C_0603_1608Metric</t>
        </is>
      </c>
      <c r="E13" s="4" t="n">
        <v>30</v>
      </c>
      <c r="F13" s="5" t="inlineStr">
        <is>
          <t>Sunrom</t>
        </is>
      </c>
      <c r="G13" s="5" t="inlineStr">
        <is>
          <t>SR-CAP-104</t>
        </is>
      </c>
      <c r="H13" s="6" t="n">
        <v>0.65</v>
      </c>
      <c r="I13" s="6">
        <f>E13*H13</f>
        <v/>
      </c>
      <c r="J13" s="7" t="inlineStr">
        <is>
          <t>Click to View Part</t>
        </is>
      </c>
    </row>
    <row r="14" ht="20" customHeight="1">
      <c r="A14" s="8" t="n">
        <v>10</v>
      </c>
      <c r="B14" s="9" t="inlineStr">
        <is>
          <t>R41,R74,R37,R65,R82,R55,R48,R53,R34,R2,R3,R47,R86,R1</t>
        </is>
      </c>
      <c r="C14" s="9" t="inlineStr">
        <is>
          <t>10K</t>
        </is>
      </c>
      <c r="D14" s="9" t="inlineStr">
        <is>
          <t>R_0603_1608Metric</t>
        </is>
      </c>
      <c r="E14" s="8" t="n">
        <v>14</v>
      </c>
      <c r="F14" s="9" t="inlineStr">
        <is>
          <t>Sunrom</t>
        </is>
      </c>
      <c r="G14" s="9" t="inlineStr">
        <is>
          <t>SR-5190</t>
        </is>
      </c>
      <c r="H14" s="10" t="n">
        <v>0.35</v>
      </c>
      <c r="I14" s="10">
        <f>E14*H14</f>
        <v/>
      </c>
      <c r="J14" s="11" t="inlineStr">
        <is>
          <t>Click to View Part</t>
        </is>
      </c>
    </row>
    <row r="15" ht="20" customHeight="1">
      <c r="A15" s="4" t="n">
        <v>11</v>
      </c>
      <c r="B15" s="5" t="inlineStr">
        <is>
          <t>R78,R56,R52</t>
        </is>
      </c>
      <c r="C15" s="5" t="inlineStr">
        <is>
          <t>330R</t>
        </is>
      </c>
      <c r="D15" s="5" t="inlineStr">
        <is>
          <t>R_0805_2012Metric</t>
        </is>
      </c>
      <c r="E15" s="4" t="n">
        <v>3</v>
      </c>
      <c r="F15" s="5" t="inlineStr">
        <is>
          <t>Sunrom</t>
        </is>
      </c>
      <c r="G15" s="5" t="inlineStr">
        <is>
          <t>SR-5190</t>
        </is>
      </c>
      <c r="H15" s="6" t="n">
        <v>0.35</v>
      </c>
      <c r="I15" s="6">
        <f>E15*H15</f>
        <v/>
      </c>
      <c r="J15" s="7" t="inlineStr">
        <is>
          <t>Click to View Part</t>
        </is>
      </c>
    </row>
    <row r="16" ht="20" customHeight="1">
      <c r="A16" s="8" t="n">
        <v>12</v>
      </c>
      <c r="B16" s="9" t="inlineStr">
        <is>
          <t>R15,R17,R45,R14,R19,R83,R84,R18,R4,R20,R5</t>
        </is>
      </c>
      <c r="C16" s="9" t="inlineStr">
        <is>
          <t>0R</t>
        </is>
      </c>
      <c r="D16" s="9" t="inlineStr">
        <is>
          <t>R_0603_1608Metric</t>
        </is>
      </c>
      <c r="E16" s="8" t="n">
        <v>11</v>
      </c>
      <c r="F16" s="9" t="inlineStr">
        <is>
          <t>Sunrom</t>
        </is>
      </c>
      <c r="G16" s="9" t="inlineStr">
        <is>
          <t>SR-5190</t>
        </is>
      </c>
      <c r="H16" s="10" t="n">
        <v>0.35</v>
      </c>
      <c r="I16" s="10">
        <f>E16*H16</f>
        <v/>
      </c>
      <c r="J16" s="11" t="inlineStr">
        <is>
          <t>Click to View Part</t>
        </is>
      </c>
    </row>
    <row r="17" ht="20" customHeight="1">
      <c r="A17" s="4" t="n">
        <v>13</v>
      </c>
      <c r="B17" s="5" t="inlineStr">
        <is>
          <t>Q5</t>
        </is>
      </c>
      <c r="C17" s="5" t="inlineStr">
        <is>
          <t>STL6P3LLH6</t>
        </is>
      </c>
      <c r="D17" s="5" t="inlineStr">
        <is>
          <t>TRANS_STL6P3LLH6</t>
        </is>
      </c>
      <c r="E17" s="4" t="n">
        <v>1</v>
      </c>
      <c r="F17" s="5" t="inlineStr">
        <is>
          <t>Robu.in</t>
        </is>
      </c>
      <c r="G17" s="5" t="inlineStr">
        <is>
          <t>ROBU-STL6P3LLH6</t>
        </is>
      </c>
      <c r="H17" s="6" t="n">
        <v>1.2</v>
      </c>
      <c r="I17" s="6">
        <f>E17*H17</f>
        <v/>
      </c>
      <c r="J17" s="7" t="inlineStr">
        <is>
          <t>Click to View Part</t>
        </is>
      </c>
    </row>
    <row r="18" ht="20" customHeight="1">
      <c r="A18" s="8" t="n">
        <v>14</v>
      </c>
      <c r="B18" s="9" t="inlineStr">
        <is>
          <t>FB1</t>
        </is>
      </c>
      <c r="C18" s="9" t="inlineStr">
        <is>
          <t>FerriteBead</t>
        </is>
      </c>
      <c r="D18" s="9" t="inlineStr">
        <is>
          <t>L_Walsin_WLFM252009x</t>
        </is>
      </c>
      <c r="E18" s="8" t="n">
        <v>1</v>
      </c>
      <c r="F18" s="9" t="inlineStr">
        <is>
          <t>Robu.in</t>
        </is>
      </c>
      <c r="G18" s="9" t="inlineStr">
        <is>
          <t>ROBU-FB-0805</t>
        </is>
      </c>
      <c r="H18" s="10" t="n">
        <v>3.5</v>
      </c>
      <c r="I18" s="10">
        <f>E18*H18</f>
        <v/>
      </c>
      <c r="J18" s="11" t="inlineStr">
        <is>
          <t>Click to View Part</t>
        </is>
      </c>
    </row>
    <row r="19" ht="20" customHeight="1">
      <c r="A19" s="4" t="n">
        <v>15</v>
      </c>
      <c r="B19" s="5" t="inlineStr">
        <is>
          <t>R69,R62</t>
        </is>
      </c>
      <c r="C19" s="5" t="inlineStr">
        <is>
          <t>0R</t>
        </is>
      </c>
      <c r="D19" s="5" t="inlineStr">
        <is>
          <t>R_1210_3225Metric</t>
        </is>
      </c>
      <c r="E19" s="4" t="n">
        <v>2</v>
      </c>
      <c r="F19" s="5" t="inlineStr">
        <is>
          <t>Sunrom</t>
        </is>
      </c>
      <c r="G19" s="5" t="inlineStr">
        <is>
          <t>SR-5190</t>
        </is>
      </c>
      <c r="H19" s="6" t="n">
        <v>0.35</v>
      </c>
      <c r="I19" s="6">
        <f>E19*H19</f>
        <v/>
      </c>
      <c r="J19" s="7" t="inlineStr">
        <is>
          <t>Click to View Part</t>
        </is>
      </c>
    </row>
    <row r="20" ht="20" customHeight="1">
      <c r="A20" s="8" t="n">
        <v>16</v>
      </c>
      <c r="B20" s="9" t="inlineStr">
        <is>
          <t>L6</t>
        </is>
      </c>
      <c r="C20" s="9" t="inlineStr">
        <is>
          <t>4.7uH</t>
        </is>
      </c>
      <c r="D20" s="9" t="inlineStr">
        <is>
          <t>L_Chilisin_BMRA00050530</t>
        </is>
      </c>
      <c r="E20" s="8" t="n">
        <v>1</v>
      </c>
      <c r="F20" s="9" t="inlineStr">
        <is>
          <t>ElectronicsComp</t>
        </is>
      </c>
      <c r="G20" s="9" t="inlineStr">
        <is>
          <t>EC-IND-0R47</t>
        </is>
      </c>
      <c r="H20" s="10" t="n">
        <v>6.8</v>
      </c>
      <c r="I20" s="10">
        <f>E20*H20</f>
        <v/>
      </c>
      <c r="J20" s="11" t="inlineStr">
        <is>
          <t>Click to View Part</t>
        </is>
      </c>
    </row>
    <row r="21" ht="20" customHeight="1">
      <c r="A21" s="4" t="n">
        <v>17</v>
      </c>
      <c r="B21" s="5" t="inlineStr">
        <is>
          <t>L1</t>
        </is>
      </c>
      <c r="C21" s="5" t="inlineStr">
        <is>
          <t>4.7uH</t>
        </is>
      </c>
      <c r="D21" s="5" t="inlineStr">
        <is>
          <t>L_Coilcraft_LPS4018</t>
        </is>
      </c>
      <c r="E21" s="4" t="n">
        <v>1</v>
      </c>
      <c r="F21" s="5" t="inlineStr">
        <is>
          <t>ElectronicsComp</t>
        </is>
      </c>
      <c r="G21" s="5" t="inlineStr">
        <is>
          <t>EC-IND-0R47</t>
        </is>
      </c>
      <c r="H21" s="6" t="n">
        <v>6.8</v>
      </c>
      <c r="I21" s="6">
        <f>E21*H21</f>
        <v/>
      </c>
      <c r="J21" s="7" t="inlineStr">
        <is>
          <t>Click to View Part</t>
        </is>
      </c>
    </row>
    <row r="22" ht="20" customHeight="1">
      <c r="A22" s="8" t="n">
        <v>18</v>
      </c>
      <c r="B22" s="9" t="inlineStr">
        <is>
          <t>C36,C62,C59,C41,C78,C37,C42</t>
        </is>
      </c>
      <c r="C22" s="9" t="inlineStr">
        <is>
          <t>2.2uF</t>
        </is>
      </c>
      <c r="D22" s="9" t="inlineStr">
        <is>
          <t>C_0603_1608Metric</t>
        </is>
      </c>
      <c r="E22" s="8" t="n">
        <v>7</v>
      </c>
      <c r="F22" s="9" t="inlineStr">
        <is>
          <t>Sunrom</t>
        </is>
      </c>
      <c r="G22" s="9" t="inlineStr">
        <is>
          <t>SR-CAP-104</t>
        </is>
      </c>
      <c r="H22" s="10" t="n">
        <v>0.65</v>
      </c>
      <c r="I22" s="10">
        <f>E22*H22</f>
        <v/>
      </c>
      <c r="J22" s="11" t="inlineStr">
        <is>
          <t>Click to View Part</t>
        </is>
      </c>
    </row>
    <row r="23" ht="20" customHeight="1">
      <c r="A23" s="4" t="n">
        <v>19</v>
      </c>
      <c r="B23" s="5" t="inlineStr">
        <is>
          <t>C87</t>
        </is>
      </c>
      <c r="C23" s="5" t="inlineStr">
        <is>
          <t>5.6nF</t>
        </is>
      </c>
      <c r="D23" s="5" t="inlineStr">
        <is>
          <t>C_0603_1608Metric</t>
        </is>
      </c>
      <c r="E23" s="4" t="n">
        <v>1</v>
      </c>
      <c r="F23" s="5" t="inlineStr">
        <is>
          <t>Sunrom</t>
        </is>
      </c>
      <c r="G23" s="5" t="inlineStr">
        <is>
          <t>SR-CAP-104</t>
        </is>
      </c>
      <c r="H23" s="6" t="n">
        <v>0.65</v>
      </c>
      <c r="I23" s="6">
        <f>E23*H23</f>
        <v/>
      </c>
      <c r="J23" s="7" t="inlineStr">
        <is>
          <t>Click to View Part</t>
        </is>
      </c>
    </row>
    <row r="24" ht="20" customHeight="1">
      <c r="A24" s="8" t="n">
        <v>20</v>
      </c>
      <c r="B24" s="9" t="inlineStr">
        <is>
          <t>R25,R12,R40,R8,R29,R16,R9,R11,R36,R13,R7,R6,R35,R33</t>
        </is>
      </c>
      <c r="C24" s="9" t="inlineStr">
        <is>
          <t>1K</t>
        </is>
      </c>
      <c r="D24" s="9" t="inlineStr">
        <is>
          <t>R_0603_1608Metric</t>
        </is>
      </c>
      <c r="E24" s="8" t="n">
        <v>14</v>
      </c>
      <c r="F24" s="9" t="inlineStr">
        <is>
          <t>Sunrom</t>
        </is>
      </c>
      <c r="G24" s="9" t="inlineStr">
        <is>
          <t>SR-5190</t>
        </is>
      </c>
      <c r="H24" s="10" t="n">
        <v>0.35</v>
      </c>
      <c r="I24" s="10">
        <f>E24*H24</f>
        <v/>
      </c>
      <c r="J24" s="11" t="inlineStr">
        <is>
          <t>Click to View Part</t>
        </is>
      </c>
    </row>
    <row r="25" ht="20" customHeight="1">
      <c r="A25" s="4" t="n">
        <v>21</v>
      </c>
      <c r="B25" s="5" t="inlineStr">
        <is>
          <t>C76,C77</t>
        </is>
      </c>
      <c r="C25" s="5" t="inlineStr">
        <is>
          <t>470pF</t>
        </is>
      </c>
      <c r="D25" s="5" t="inlineStr">
        <is>
          <t>C_0603_1608Metric</t>
        </is>
      </c>
      <c r="E25" s="4" t="n">
        <v>2</v>
      </c>
      <c r="F25" s="5" t="inlineStr">
        <is>
          <t>Sunrom</t>
        </is>
      </c>
      <c r="G25" s="5" t="inlineStr">
        <is>
          <t>SR-CAP-104</t>
        </is>
      </c>
      <c r="H25" s="6" t="n">
        <v>0.65</v>
      </c>
      <c r="I25" s="6">
        <f>E25*H25</f>
        <v/>
      </c>
      <c r="J25" s="7" t="inlineStr">
        <is>
          <t>Click to View Part</t>
        </is>
      </c>
    </row>
    <row r="26" ht="20" customHeight="1">
      <c r="A26" s="8" t="n">
        <v>22</v>
      </c>
      <c r="B26" s="9" t="inlineStr">
        <is>
          <t>Y1</t>
        </is>
      </c>
      <c r="C26" s="9" t="inlineStr">
        <is>
          <t>8MH/20ppm/X5030</t>
        </is>
      </c>
      <c r="D26" s="9" t="inlineStr">
        <is>
          <t>Crystal_SMD_3225-4Pin_3.2x2.5mm</t>
        </is>
      </c>
      <c r="E26" s="8" t="n">
        <v>1</v>
      </c>
      <c r="F26" s="9" t="inlineStr">
        <is>
          <t>Robu.in</t>
        </is>
      </c>
      <c r="G26" s="9" t="inlineStr">
        <is>
          <t>ROBU-8MH20PPMX5</t>
        </is>
      </c>
      <c r="H26" s="10" t="n">
        <v>1.2</v>
      </c>
      <c r="I26" s="10">
        <f>E26*H26</f>
        <v/>
      </c>
      <c r="J26" s="11" t="inlineStr">
        <is>
          <t>Click to View Part</t>
        </is>
      </c>
    </row>
    <row r="27" ht="20" customHeight="1">
      <c r="A27" s="4" t="n">
        <v>23</v>
      </c>
      <c r="B27" s="5" t="inlineStr">
        <is>
          <t>C61,C96,C45,C67,C11,C10,C9,C46,C60,C92,C57</t>
        </is>
      </c>
      <c r="C27" s="5" t="inlineStr">
        <is>
          <t>1uF</t>
        </is>
      </c>
      <c r="D27" s="5" t="inlineStr">
        <is>
          <t>C_0603_1608Metric</t>
        </is>
      </c>
      <c r="E27" s="4" t="n">
        <v>11</v>
      </c>
      <c r="F27" s="5" t="inlineStr">
        <is>
          <t>Sunrom</t>
        </is>
      </c>
      <c r="G27" s="5" t="inlineStr">
        <is>
          <t>SR-CAP-104</t>
        </is>
      </c>
      <c r="H27" s="6" t="n">
        <v>0.65</v>
      </c>
      <c r="I27" s="6">
        <f>E27*H27</f>
        <v/>
      </c>
      <c r="J27" s="7" t="inlineStr">
        <is>
          <t>Click to View Part</t>
        </is>
      </c>
    </row>
    <row r="28" ht="20" customHeight="1">
      <c r="A28" s="8" t="n">
        <v>24</v>
      </c>
      <c r="B28" s="9" t="inlineStr">
        <is>
          <t>C94,C82,C93,C89</t>
        </is>
      </c>
      <c r="C28" s="9" t="inlineStr">
        <is>
          <t>22uF</t>
        </is>
      </c>
      <c r="D28" s="9" t="inlineStr">
        <is>
          <t>C_0603_1608Metric</t>
        </is>
      </c>
      <c r="E28" s="8" t="n">
        <v>4</v>
      </c>
      <c r="F28" s="9" t="inlineStr">
        <is>
          <t>Sunrom</t>
        </is>
      </c>
      <c r="G28" s="9" t="inlineStr">
        <is>
          <t>SR-CAP-104</t>
        </is>
      </c>
      <c r="H28" s="10" t="n">
        <v>0.65</v>
      </c>
      <c r="I28" s="10">
        <f>E28*H28</f>
        <v/>
      </c>
      <c r="J28" s="11" t="inlineStr">
        <is>
          <t>Click to View Part</t>
        </is>
      </c>
    </row>
    <row r="29" ht="20" customHeight="1">
      <c r="A29" s="4" t="n">
        <v>25</v>
      </c>
      <c r="B29" s="5" t="inlineStr">
        <is>
          <t>R64</t>
        </is>
      </c>
      <c r="C29" s="5" t="inlineStr">
        <is>
          <t>88K</t>
        </is>
      </c>
      <c r="D29" s="5" t="inlineStr">
        <is>
          <t>R_0603_1608Metric</t>
        </is>
      </c>
      <c r="E29" s="4" t="n">
        <v>1</v>
      </c>
      <c r="F29" s="5" t="inlineStr">
        <is>
          <t>Sunrom</t>
        </is>
      </c>
      <c r="G29" s="5" t="inlineStr">
        <is>
          <t>SR-5190</t>
        </is>
      </c>
      <c r="H29" s="6" t="n">
        <v>0.35</v>
      </c>
      <c r="I29" s="6">
        <f>E29*H29</f>
        <v/>
      </c>
      <c r="J29" s="7" t="inlineStr">
        <is>
          <t>Click to View Part</t>
        </is>
      </c>
    </row>
    <row r="30" ht="20" customHeight="1">
      <c r="A30" s="8" t="n">
        <v>26</v>
      </c>
      <c r="B30" s="9" t="inlineStr">
        <is>
          <t>R57</t>
        </is>
      </c>
      <c r="C30" s="9" t="inlineStr">
        <is>
          <t>35.7K</t>
        </is>
      </c>
      <c r="D30" s="9" t="inlineStr">
        <is>
          <t>R_0603_1608Metric</t>
        </is>
      </c>
      <c r="E30" s="8" t="n">
        <v>1</v>
      </c>
      <c r="F30" s="9" t="inlineStr">
        <is>
          <t>Sunrom</t>
        </is>
      </c>
      <c r="G30" s="9" t="inlineStr">
        <is>
          <t>SR-5190</t>
        </is>
      </c>
      <c r="H30" s="10" t="n">
        <v>0.35</v>
      </c>
      <c r="I30" s="10">
        <f>E30*H30</f>
        <v/>
      </c>
      <c r="J30" s="11" t="inlineStr">
        <is>
          <t>Click to View Part</t>
        </is>
      </c>
    </row>
    <row r="31" ht="20" customHeight="1">
      <c r="A31" s="4" t="n">
        <v>27</v>
      </c>
      <c r="B31" s="5" t="inlineStr">
        <is>
          <t>U1</t>
        </is>
      </c>
      <c r="C31" s="5" t="inlineStr">
        <is>
          <t>STM32F446RETx</t>
        </is>
      </c>
      <c r="D31" s="5" t="inlineStr">
        <is>
          <t>LQFP-64_10x10mm_P0.5mm</t>
        </is>
      </c>
      <c r="E31" s="4" t="n">
        <v>1</v>
      </c>
      <c r="F31" s="5" t="inlineStr">
        <is>
          <t>Robu.in</t>
        </is>
      </c>
      <c r="G31" s="5" t="inlineStr">
        <is>
          <t>ROBU-STM32F446R</t>
        </is>
      </c>
      <c r="H31" s="6" t="n">
        <v>345</v>
      </c>
      <c r="I31" s="6">
        <f>E31*H31</f>
        <v/>
      </c>
      <c r="J31" s="7" t="inlineStr">
        <is>
          <t>Click to View Part</t>
        </is>
      </c>
    </row>
    <row r="32" ht="20" customHeight="1">
      <c r="A32" s="8" t="n">
        <v>28</v>
      </c>
      <c r="B32" s="9" t="inlineStr">
        <is>
          <t>R43</t>
        </is>
      </c>
      <c r="C32" s="9" t="inlineStr">
        <is>
          <t>2.2K</t>
        </is>
      </c>
      <c r="D32" s="9" t="inlineStr">
        <is>
          <t>R_0603_1608Metric</t>
        </is>
      </c>
      <c r="E32" s="8" t="n">
        <v>1</v>
      </c>
      <c r="F32" s="9" t="inlineStr">
        <is>
          <t>Sunrom</t>
        </is>
      </c>
      <c r="G32" s="9" t="inlineStr">
        <is>
          <t>SR-5190</t>
        </is>
      </c>
      <c r="H32" s="10" t="n">
        <v>0.35</v>
      </c>
      <c r="I32" s="10">
        <f>E32*H32</f>
        <v/>
      </c>
      <c r="J32" s="11" t="inlineStr">
        <is>
          <t>Click to View Part</t>
        </is>
      </c>
    </row>
    <row r="33" ht="20" customHeight="1">
      <c r="A33" s="4" t="n">
        <v>29</v>
      </c>
      <c r="B33" s="5" t="inlineStr">
        <is>
          <t>C55</t>
        </is>
      </c>
      <c r="C33" s="5" t="inlineStr">
        <is>
          <t>10pF</t>
        </is>
      </c>
      <c r="D33" s="5" t="inlineStr">
        <is>
          <t>C_0603_1608Metric</t>
        </is>
      </c>
      <c r="E33" s="4" t="n">
        <v>1</v>
      </c>
      <c r="F33" s="5" t="inlineStr">
        <is>
          <t>Sunrom</t>
        </is>
      </c>
      <c r="G33" s="5" t="inlineStr">
        <is>
          <t>SR-CAP-104</t>
        </is>
      </c>
      <c r="H33" s="6" t="n">
        <v>0.65</v>
      </c>
      <c r="I33" s="6">
        <f>E33*H33</f>
        <v/>
      </c>
      <c r="J33" s="7" t="inlineStr">
        <is>
          <t>Click to View Part</t>
        </is>
      </c>
    </row>
    <row r="34" ht="20" customHeight="1">
      <c r="A34" s="8" t="n">
        <v>30</v>
      </c>
      <c r="B34" s="9" t="inlineStr">
        <is>
          <t>C66,C16,C18,C17,C19</t>
        </is>
      </c>
      <c r="C34" s="9" t="inlineStr">
        <is>
          <t>100pF</t>
        </is>
      </c>
      <c r="D34" s="9" t="inlineStr">
        <is>
          <t>C_0603_1608Metric</t>
        </is>
      </c>
      <c r="E34" s="8" t="n">
        <v>5</v>
      </c>
      <c r="F34" s="9" t="inlineStr">
        <is>
          <t>Sunrom</t>
        </is>
      </c>
      <c r="G34" s="9" t="inlineStr">
        <is>
          <t>SR-CAP-104</t>
        </is>
      </c>
      <c r="H34" s="10" t="n">
        <v>0.65</v>
      </c>
      <c r="I34" s="10">
        <f>E34*H34</f>
        <v/>
      </c>
      <c r="J34" s="11" t="inlineStr">
        <is>
          <t>Click to View Part</t>
        </is>
      </c>
    </row>
    <row r="35" ht="20" customHeight="1">
      <c r="A35" s="4" t="n">
        <v>31</v>
      </c>
      <c r="B35" s="5" t="inlineStr">
        <is>
          <t>SW1,SW2</t>
        </is>
      </c>
      <c r="C35" s="5" t="inlineStr">
        <is>
          <t>SW_Push</t>
        </is>
      </c>
      <c r="D35" s="5" t="inlineStr">
        <is>
          <t>SW_Push_SPST_NO_Alps_SKRK</t>
        </is>
      </c>
      <c r="E35" s="4" t="n">
        <v>2</v>
      </c>
      <c r="F35" s="5" t="inlineStr">
        <is>
          <t>Robu.in</t>
        </is>
      </c>
      <c r="G35" s="5" t="inlineStr">
        <is>
          <t>ROBU-SWPUSH</t>
        </is>
      </c>
      <c r="H35" s="6" t="n">
        <v>1.2</v>
      </c>
      <c r="I35" s="6">
        <f>E35*H35</f>
        <v/>
      </c>
      <c r="J35" s="7" t="inlineStr">
        <is>
          <t>Click to View Part</t>
        </is>
      </c>
    </row>
    <row r="36" ht="20" customHeight="1">
      <c r="A36" s="8" t="n">
        <v>32</v>
      </c>
      <c r="B36" s="9" t="inlineStr">
        <is>
          <t>U10</t>
        </is>
      </c>
      <c r="C36" s="9" t="inlineStr">
        <is>
          <t>MPQ3425DL-AEC1-LF-Z</t>
        </is>
      </c>
      <c r="D36" s="9" t="inlineStr">
        <is>
          <t>SON50P300X400X100-15N-D</t>
        </is>
      </c>
      <c r="E36" s="8" t="n">
        <v>1</v>
      </c>
      <c r="F36" s="9" t="inlineStr">
        <is>
          <t>Robu.in</t>
        </is>
      </c>
      <c r="G36" s="9" t="inlineStr">
        <is>
          <t>ROBU-MPQ3425DLA</t>
        </is>
      </c>
      <c r="H36" s="10" t="n">
        <v>1.2</v>
      </c>
      <c r="I36" s="10">
        <f>E36*H36</f>
        <v/>
      </c>
      <c r="J36" s="11" t="inlineStr">
        <is>
          <t>Click to View Part</t>
        </is>
      </c>
    </row>
    <row r="37" ht="20" customHeight="1">
      <c r="A37" s="4" t="n">
        <v>33</v>
      </c>
      <c r="B37" s="5" t="inlineStr">
        <is>
          <t>D13,D14,D6,D9,D7,D10,D12</t>
        </is>
      </c>
      <c r="C37" s="5" t="inlineStr">
        <is>
          <t>LED</t>
        </is>
      </c>
      <c r="D37" s="5" t="inlineStr">
        <is>
          <t>LED_0603_1608Metric</t>
        </is>
      </c>
      <c r="E37" s="4" t="n">
        <v>7</v>
      </c>
      <c r="F37" s="5" t="inlineStr">
        <is>
          <t>Robu.in</t>
        </is>
      </c>
      <c r="G37" s="5" t="inlineStr">
        <is>
          <t>ROBU-LED</t>
        </is>
      </c>
      <c r="H37" s="6" t="n">
        <v>2.4</v>
      </c>
      <c r="I37" s="6">
        <f>E37*H37</f>
        <v/>
      </c>
      <c r="J37" s="7" t="inlineStr">
        <is>
          <t>Click to View Part</t>
        </is>
      </c>
    </row>
    <row r="38" ht="20" customHeight="1">
      <c r="A38" s="8" t="n">
        <v>34</v>
      </c>
      <c r="B38" s="9" t="inlineStr">
        <is>
          <t>C53,C56,C54,C3,C51</t>
        </is>
      </c>
      <c r="C38" s="9" t="inlineStr">
        <is>
          <t>4.7uF</t>
        </is>
      </c>
      <c r="D38" s="9" t="inlineStr">
        <is>
          <t>C_0603_1608Metric</t>
        </is>
      </c>
      <c r="E38" s="8" t="n">
        <v>5</v>
      </c>
      <c r="F38" s="9" t="inlineStr">
        <is>
          <t>Sunrom</t>
        </is>
      </c>
      <c r="G38" s="9" t="inlineStr">
        <is>
          <t>SR-CAP-104</t>
        </is>
      </c>
      <c r="H38" s="10" t="n">
        <v>0.65</v>
      </c>
      <c r="I38" s="10">
        <f>E38*H38</f>
        <v/>
      </c>
      <c r="J38" s="11" t="inlineStr">
        <is>
          <t>Click to View Part</t>
        </is>
      </c>
    </row>
    <row r="39" ht="20" customHeight="1">
      <c r="A39" s="4" t="n">
        <v>35</v>
      </c>
      <c r="B39" s="5" t="inlineStr">
        <is>
          <t>R26</t>
        </is>
      </c>
      <c r="C39" s="5" t="inlineStr">
        <is>
          <t>10R</t>
        </is>
      </c>
      <c r="D39" s="5" t="inlineStr">
        <is>
          <t>R_0603_1608Metric</t>
        </is>
      </c>
      <c r="E39" s="4" t="n">
        <v>1</v>
      </c>
      <c r="F39" s="5" t="inlineStr">
        <is>
          <t>Sunrom</t>
        </is>
      </c>
      <c r="G39" s="5" t="inlineStr">
        <is>
          <t>SR-5190</t>
        </is>
      </c>
      <c r="H39" s="6" t="n">
        <v>0.35</v>
      </c>
      <c r="I39" s="6">
        <f>E39*H39</f>
        <v/>
      </c>
      <c r="J39" s="7" t="inlineStr">
        <is>
          <t>Click to View Part</t>
        </is>
      </c>
    </row>
    <row r="40" ht="20" customHeight="1">
      <c r="A40" s="8" t="n">
        <v>36</v>
      </c>
      <c r="B40" s="9" t="inlineStr">
        <is>
          <t>R30</t>
        </is>
      </c>
      <c r="C40" s="9" t="inlineStr">
        <is>
          <t>150K</t>
        </is>
      </c>
      <c r="D40" s="9" t="inlineStr">
        <is>
          <t>R_0603_1608Metric</t>
        </is>
      </c>
      <c r="E40" s="8" t="n">
        <v>1</v>
      </c>
      <c r="F40" s="9" t="inlineStr">
        <is>
          <t>Sunrom</t>
        </is>
      </c>
      <c r="G40" s="9" t="inlineStr">
        <is>
          <t>SR-5190</t>
        </is>
      </c>
      <c r="H40" s="10" t="n">
        <v>0.35</v>
      </c>
      <c r="I40" s="10">
        <f>E40*H40</f>
        <v/>
      </c>
      <c r="J40" s="11" t="inlineStr">
        <is>
          <t>Click to View Part</t>
        </is>
      </c>
    </row>
    <row r="41" ht="20" customHeight="1">
      <c r="A41" s="4" t="n">
        <v>37</v>
      </c>
      <c r="B41" s="5" t="inlineStr">
        <is>
          <t>U11</t>
        </is>
      </c>
      <c r="C41" s="5" t="inlineStr">
        <is>
          <t>LM73100RPWR</t>
        </is>
      </c>
      <c r="D41" s="5" t="inlineStr">
        <is>
          <t>LM73100RPWR</t>
        </is>
      </c>
      <c r="E41" s="4" t="n">
        <v>1</v>
      </c>
      <c r="F41" s="5" t="inlineStr">
        <is>
          <t>Sunrom</t>
        </is>
      </c>
      <c r="G41" s="5" t="inlineStr">
        <is>
          <t>SR-5190</t>
        </is>
      </c>
      <c r="H41" s="6" t="n">
        <v>0.35</v>
      </c>
      <c r="I41" s="6">
        <f>E41*H41</f>
        <v/>
      </c>
      <c r="J41" s="7" t="inlineStr">
        <is>
          <t>Click to View Part</t>
        </is>
      </c>
    </row>
    <row r="42" ht="20" customHeight="1">
      <c r="A42" s="8" t="n">
        <v>38</v>
      </c>
      <c r="B42" s="9" t="inlineStr">
        <is>
          <t>C52</t>
        </is>
      </c>
      <c r="C42" s="9" t="inlineStr">
        <is>
          <t>0.22uF</t>
        </is>
      </c>
      <c r="D42" s="9" t="inlineStr">
        <is>
          <t>C_0603_1608Metric</t>
        </is>
      </c>
      <c r="E42" s="8" t="n">
        <v>1</v>
      </c>
      <c r="F42" s="9" t="inlineStr">
        <is>
          <t>Sunrom</t>
        </is>
      </c>
      <c r="G42" s="9" t="inlineStr">
        <is>
          <t>SR-CAP-104</t>
        </is>
      </c>
      <c r="H42" s="10" t="n">
        <v>0.65</v>
      </c>
      <c r="I42" s="10">
        <f>E42*H42</f>
        <v/>
      </c>
      <c r="J42" s="11" t="inlineStr">
        <is>
          <t>Click to View Part</t>
        </is>
      </c>
    </row>
    <row r="43" ht="20" customHeight="1">
      <c r="A43" s="4" t="n">
        <v>39</v>
      </c>
      <c r="B43" s="5" t="inlineStr">
        <is>
          <t>R60,R70,R63</t>
        </is>
      </c>
      <c r="C43" s="5" t="inlineStr">
        <is>
          <t>0R/DNP</t>
        </is>
      </c>
      <c r="D43" s="5" t="inlineStr">
        <is>
          <t>R_1206_3216Metric</t>
        </is>
      </c>
      <c r="E43" s="4" t="n">
        <v>3</v>
      </c>
      <c r="F43" s="5" t="inlineStr">
        <is>
          <t>Sunrom</t>
        </is>
      </c>
      <c r="G43" s="5" t="inlineStr">
        <is>
          <t>SR-5190</t>
        </is>
      </c>
      <c r="H43" s="6" t="n">
        <v>0.35</v>
      </c>
      <c r="I43" s="6">
        <f>E43*H43</f>
        <v/>
      </c>
      <c r="J43" s="7" t="inlineStr">
        <is>
          <t>Click to View Part</t>
        </is>
      </c>
    </row>
    <row r="44" ht="20" customHeight="1">
      <c r="A44" s="8" t="n">
        <v>40</v>
      </c>
      <c r="B44" s="9" t="inlineStr">
        <is>
          <t>C105,C107</t>
        </is>
      </c>
      <c r="C44" s="9" t="inlineStr">
        <is>
          <t>10uF/50V</t>
        </is>
      </c>
      <c r="D44" s="9" t="inlineStr">
        <is>
          <t>C_0603_1608Metric</t>
        </is>
      </c>
      <c r="E44" s="8" t="n">
        <v>2</v>
      </c>
      <c r="F44" s="9" t="inlineStr">
        <is>
          <t>Sunrom</t>
        </is>
      </c>
      <c r="G44" s="9" t="inlineStr">
        <is>
          <t>SR-CAP-104</t>
        </is>
      </c>
      <c r="H44" s="10" t="n">
        <v>0.65</v>
      </c>
      <c r="I44" s="10">
        <f>E44*H44</f>
        <v/>
      </c>
      <c r="J44" s="11" t="inlineStr">
        <is>
          <t>Click to View Part</t>
        </is>
      </c>
    </row>
    <row r="45" ht="20" customHeight="1">
      <c r="A45" s="4" t="n">
        <v>41</v>
      </c>
      <c r="B45" s="5" t="inlineStr">
        <is>
          <t>R39,R38</t>
        </is>
      </c>
      <c r="C45" s="5" t="inlineStr">
        <is>
          <t>1M</t>
        </is>
      </c>
      <c r="D45" s="5" t="inlineStr">
        <is>
          <t>R_0603_1608Metric</t>
        </is>
      </c>
      <c r="E45" s="4" t="n">
        <v>2</v>
      </c>
      <c r="F45" s="5" t="inlineStr">
        <is>
          <t>Sunrom</t>
        </is>
      </c>
      <c r="G45" s="5" t="inlineStr">
        <is>
          <t>SR-5190</t>
        </is>
      </c>
      <c r="H45" s="6" t="n">
        <v>0.35</v>
      </c>
      <c r="I45" s="6">
        <f>E45*H45</f>
        <v/>
      </c>
      <c r="J45" s="7" t="inlineStr">
        <is>
          <t>Click to View Part</t>
        </is>
      </c>
    </row>
    <row r="46" ht="20" customHeight="1">
      <c r="A46" s="8" t="n">
        <v>42</v>
      </c>
      <c r="B46" s="9" t="inlineStr">
        <is>
          <t>D2,D1,D3,D15</t>
        </is>
      </c>
      <c r="C46" s="9" t="inlineStr">
        <is>
          <t>LL4148</t>
        </is>
      </c>
      <c r="D46" s="9" t="inlineStr">
        <is>
          <t>D_MiniMELF</t>
        </is>
      </c>
      <c r="E46" s="8" t="n">
        <v>4</v>
      </c>
      <c r="F46" s="9" t="inlineStr">
        <is>
          <t>Sunrom</t>
        </is>
      </c>
      <c r="G46" s="9" t="inlineStr">
        <is>
          <t>SR-6777</t>
        </is>
      </c>
      <c r="H46" s="10" t="n">
        <v>1.04</v>
      </c>
      <c r="I46" s="10">
        <f>E46*H46</f>
        <v/>
      </c>
      <c r="J46" s="11" t="inlineStr">
        <is>
          <t>Click to View Part</t>
        </is>
      </c>
    </row>
    <row r="47" ht="20" customHeight="1">
      <c r="A47" s="4" t="n">
        <v>43</v>
      </c>
      <c r="B47" s="5" t="inlineStr">
        <is>
          <t>C79</t>
        </is>
      </c>
      <c r="C47" s="5" t="inlineStr">
        <is>
          <t>1uF</t>
        </is>
      </c>
      <c r="D47" s="5" t="inlineStr">
        <is>
          <t>C_0805_2012Metric</t>
        </is>
      </c>
      <c r="E47" s="4" t="n">
        <v>1</v>
      </c>
      <c r="F47" s="5" t="inlineStr">
        <is>
          <t>Sunrom</t>
        </is>
      </c>
      <c r="G47" s="5" t="inlineStr">
        <is>
          <t>SR-CAP-104</t>
        </is>
      </c>
      <c r="H47" s="6" t="n">
        <v>0.65</v>
      </c>
      <c r="I47" s="6">
        <f>E47*H47</f>
        <v/>
      </c>
      <c r="J47" s="7" t="inlineStr">
        <is>
          <t>Click to View Part</t>
        </is>
      </c>
    </row>
    <row r="48" ht="20" customHeight="1">
      <c r="A48" s="8" t="n">
        <v>44</v>
      </c>
      <c r="B48" s="9" t="inlineStr">
        <is>
          <t>J5,J7</t>
        </is>
      </c>
      <c r="C48" s="9" t="inlineStr">
        <is>
          <t>54-00174</t>
        </is>
      </c>
      <c r="D48" s="9" t="inlineStr">
        <is>
          <t>5400174</t>
        </is>
      </c>
      <c r="E48" s="8" t="n">
        <v>2</v>
      </c>
      <c r="F48" s="9" t="inlineStr">
        <is>
          <t>Robu.in</t>
        </is>
      </c>
      <c r="G48" s="9" t="inlineStr">
        <is>
          <t>ROBU-5400174</t>
        </is>
      </c>
      <c r="H48" s="10" t="n">
        <v>1.2</v>
      </c>
      <c r="I48" s="10">
        <f>E48*H48</f>
        <v/>
      </c>
      <c r="J48" s="11" t="inlineStr">
        <is>
          <t>Click to View Part</t>
        </is>
      </c>
    </row>
    <row r="49" ht="20" customHeight="1">
      <c r="A49" s="4" t="n">
        <v>45</v>
      </c>
      <c r="B49" s="5" t="inlineStr">
        <is>
          <t>C108,C106</t>
        </is>
      </c>
      <c r="C49" s="5" t="inlineStr">
        <is>
          <t>0.1uF/50V</t>
        </is>
      </c>
      <c r="D49" s="5" t="inlineStr">
        <is>
          <t>C_0603_1608Metric</t>
        </is>
      </c>
      <c r="E49" s="4" t="n">
        <v>2</v>
      </c>
      <c r="F49" s="5" t="inlineStr">
        <is>
          <t>Sunrom</t>
        </is>
      </c>
      <c r="G49" s="5" t="inlineStr">
        <is>
          <t>SR-CAP-104</t>
        </is>
      </c>
      <c r="H49" s="6" t="n">
        <v>0.65</v>
      </c>
      <c r="I49" s="6">
        <f>E49*H49</f>
        <v/>
      </c>
      <c r="J49" s="7" t="inlineStr">
        <is>
          <t>Click to View Part</t>
        </is>
      </c>
    </row>
    <row r="50" ht="20" customHeight="1">
      <c r="A50" s="8" t="n">
        <v>46</v>
      </c>
      <c r="B50" s="9" t="inlineStr">
        <is>
          <t>Y2</t>
        </is>
      </c>
      <c r="C50" s="9" t="inlineStr">
        <is>
          <t>Crystal_GND24</t>
        </is>
      </c>
      <c r="D50" s="9" t="inlineStr">
        <is>
          <t>Crystal_SMD_Abracon_ABM8AIG-4Pin_3.2x2.5mm</t>
        </is>
      </c>
      <c r="E50" s="8" t="n">
        <v>1</v>
      </c>
      <c r="F50" s="9" t="inlineStr">
        <is>
          <t>Robu.in</t>
        </is>
      </c>
      <c r="G50" s="9" t="inlineStr">
        <is>
          <t>ROBU-CRYSTALGND</t>
        </is>
      </c>
      <c r="H50" s="10" t="n">
        <v>1.2</v>
      </c>
      <c r="I50" s="10">
        <f>E50*H50</f>
        <v/>
      </c>
      <c r="J50" s="11" t="inlineStr">
        <is>
          <t>Click to View Part</t>
        </is>
      </c>
    </row>
    <row r="51" ht="20" customHeight="1">
      <c r="A51" s="4" t="n">
        <v>47</v>
      </c>
      <c r="B51" s="5" t="inlineStr">
        <is>
          <t>Q1,Q2,Q3,Q4</t>
        </is>
      </c>
      <c r="C51" s="5" t="inlineStr">
        <is>
          <t>BC847</t>
        </is>
      </c>
      <c r="D51" s="5" t="inlineStr">
        <is>
          <t>SOT-23</t>
        </is>
      </c>
      <c r="E51" s="4" t="n">
        <v>4</v>
      </c>
      <c r="F51" s="5" t="inlineStr">
        <is>
          <t>Robu.in</t>
        </is>
      </c>
      <c r="G51" s="5" t="inlineStr">
        <is>
          <t>ROBU-BC847SOT23</t>
        </is>
      </c>
      <c r="H51" s="6" t="n">
        <v>1.2</v>
      </c>
      <c r="I51" s="6">
        <f>E51*H51</f>
        <v/>
      </c>
      <c r="J51" s="7" t="inlineStr">
        <is>
          <t>Click to View Part</t>
        </is>
      </c>
    </row>
    <row r="52" ht="20" customHeight="1">
      <c r="A52" s="8" t="n">
        <v>48</v>
      </c>
      <c r="B52" s="9" t="inlineStr">
        <is>
          <t>R49</t>
        </is>
      </c>
      <c r="C52" s="9" t="inlineStr">
        <is>
          <t>40.2K</t>
        </is>
      </c>
      <c r="D52" s="9" t="inlineStr">
        <is>
          <t>R_0603_1608Metric</t>
        </is>
      </c>
      <c r="E52" s="8" t="n">
        <v>1</v>
      </c>
      <c r="F52" s="9" t="inlineStr">
        <is>
          <t>Sunrom</t>
        </is>
      </c>
      <c r="G52" s="9" t="inlineStr">
        <is>
          <t>SR-5190</t>
        </is>
      </c>
      <c r="H52" s="10" t="n">
        <v>0.35</v>
      </c>
      <c r="I52" s="10">
        <f>E52*H52</f>
        <v/>
      </c>
      <c r="J52" s="11" t="inlineStr">
        <is>
          <t>Click to View Part</t>
        </is>
      </c>
    </row>
    <row r="53" ht="20" customHeight="1">
      <c r="A53" s="4" t="n">
        <v>49</v>
      </c>
      <c r="B53" s="5" t="inlineStr">
        <is>
          <t>R58</t>
        </is>
      </c>
      <c r="C53" s="5" t="inlineStr">
        <is>
          <t>43.2K</t>
        </is>
      </c>
      <c r="D53" s="5" t="inlineStr">
        <is>
          <t>R_0603_1608Metric</t>
        </is>
      </c>
      <c r="E53" s="4" t="n">
        <v>1</v>
      </c>
      <c r="F53" s="5" t="inlineStr">
        <is>
          <t>Sunrom</t>
        </is>
      </c>
      <c r="G53" s="5" t="inlineStr">
        <is>
          <t>SR-5190</t>
        </is>
      </c>
      <c r="H53" s="6" t="n">
        <v>0.35</v>
      </c>
      <c r="I53" s="6">
        <f>E53*H53</f>
        <v/>
      </c>
      <c r="J53" s="7" t="inlineStr">
        <is>
          <t>Click to View Part</t>
        </is>
      </c>
    </row>
    <row r="54" ht="20" customHeight="1">
      <c r="A54" s="8" t="n">
        <v>50</v>
      </c>
      <c r="B54" s="9" t="inlineStr">
        <is>
          <t>D11,D8</t>
        </is>
      </c>
      <c r="C54" s="9" t="inlineStr">
        <is>
          <t>SS34</t>
        </is>
      </c>
      <c r="D54" s="9" t="inlineStr">
        <is>
          <t>D_SMA</t>
        </is>
      </c>
      <c r="E54" s="8" t="n">
        <v>2</v>
      </c>
      <c r="F54" s="9" t="inlineStr">
        <is>
          <t>Robu.in</t>
        </is>
      </c>
      <c r="G54" s="9" t="inlineStr">
        <is>
          <t>ROBU-SS34</t>
        </is>
      </c>
      <c r="H54" s="10" t="n">
        <v>1.2</v>
      </c>
      <c r="I54" s="10">
        <f>E54*H54</f>
        <v/>
      </c>
      <c r="J54" s="11" t="inlineStr">
        <is>
          <t>Click to View Part</t>
        </is>
      </c>
    </row>
    <row r="55" ht="20" customHeight="1">
      <c r="A55" s="4" t="n">
        <v>51</v>
      </c>
      <c r="B55" s="5" t="inlineStr">
        <is>
          <t>R68,R80,R76</t>
        </is>
      </c>
      <c r="C55" s="5" t="inlineStr">
        <is>
          <t>47K</t>
        </is>
      </c>
      <c r="D55" s="5" t="inlineStr">
        <is>
          <t>R_0603_1608Metric</t>
        </is>
      </c>
      <c r="E55" s="4" t="n">
        <v>3</v>
      </c>
      <c r="F55" s="5" t="inlineStr">
        <is>
          <t>Sunrom</t>
        </is>
      </c>
      <c r="G55" s="5" t="inlineStr">
        <is>
          <t>SR-5190</t>
        </is>
      </c>
      <c r="H55" s="6" t="n">
        <v>0.35</v>
      </c>
      <c r="I55" s="6">
        <f>E55*H55</f>
        <v/>
      </c>
      <c r="J55" s="7" t="inlineStr">
        <is>
          <t>Click to View Part</t>
        </is>
      </c>
    </row>
    <row r="56" ht="20" customHeight="1">
      <c r="A56" s="8" t="n">
        <v>52</v>
      </c>
      <c r="B56" s="9" t="inlineStr">
        <is>
          <t>R31</t>
        </is>
      </c>
      <c r="C56" s="9" t="inlineStr">
        <is>
          <t>619k</t>
        </is>
      </c>
      <c r="D56" s="9" t="inlineStr">
        <is>
          <t>R_0603_1608Metric</t>
        </is>
      </c>
      <c r="E56" s="8" t="n">
        <v>1</v>
      </c>
      <c r="F56" s="9" t="inlineStr">
        <is>
          <t>Sunrom</t>
        </is>
      </c>
      <c r="G56" s="9" t="inlineStr">
        <is>
          <t>SR-5190</t>
        </is>
      </c>
      <c r="H56" s="10" t="n">
        <v>0.35</v>
      </c>
      <c r="I56" s="10">
        <f>E56*H56</f>
        <v/>
      </c>
      <c r="J56" s="11" t="inlineStr">
        <is>
          <t>Click to View Part</t>
        </is>
      </c>
    </row>
    <row r="57" ht="20" customHeight="1">
      <c r="A57" s="4" t="n">
        <v>53</v>
      </c>
      <c r="B57" s="5" t="inlineStr">
        <is>
          <t>K4,K1,K2,K3</t>
        </is>
      </c>
      <c r="C57" s="5" t="inlineStr">
        <is>
          <t>G6K-2F-Y-TR_DC5</t>
        </is>
      </c>
      <c r="D57" s="5" t="inlineStr">
        <is>
          <t>G6K2FYTRDC5</t>
        </is>
      </c>
      <c r="E57" s="4" t="n">
        <v>4</v>
      </c>
      <c r="F57" s="5" t="inlineStr">
        <is>
          <t>Sunrom</t>
        </is>
      </c>
      <c r="G57" s="5" t="inlineStr">
        <is>
          <t>SR-CAP-104</t>
        </is>
      </c>
      <c r="H57" s="6" t="n">
        <v>0.65</v>
      </c>
      <c r="I57" s="6">
        <f>E57*H57</f>
        <v/>
      </c>
      <c r="J57" s="7" t="inlineStr">
        <is>
          <t>Click to View Part</t>
        </is>
      </c>
    </row>
    <row r="58" ht="20" customHeight="1">
      <c r="A58" s="8" t="n">
        <v>54</v>
      </c>
      <c r="B58" s="9" t="inlineStr">
        <is>
          <t>R59,R85,R32</t>
        </is>
      </c>
      <c r="C58" s="9" t="inlineStr">
        <is>
          <t>100K</t>
        </is>
      </c>
      <c r="D58" s="9" t="inlineStr">
        <is>
          <t>R_0603_1608Metric</t>
        </is>
      </c>
      <c r="E58" s="8" t="n">
        <v>3</v>
      </c>
      <c r="F58" s="9" t="inlineStr">
        <is>
          <t>Robu.in</t>
        </is>
      </c>
      <c r="G58" s="9" t="inlineStr">
        <is>
          <t>ROBU-100KRESIST</t>
        </is>
      </c>
      <c r="H58" s="10" t="n">
        <v>0.4</v>
      </c>
      <c r="I58" s="10">
        <f>E58*H58</f>
        <v/>
      </c>
      <c r="J58" s="11" t="inlineStr">
        <is>
          <t>Click to View Part</t>
        </is>
      </c>
    </row>
    <row r="59" ht="20" customHeight="1">
      <c r="A59" s="4" t="n">
        <v>55</v>
      </c>
      <c r="B59" s="5" t="inlineStr">
        <is>
          <t>R71,R46,R75</t>
        </is>
      </c>
      <c r="C59" s="5" t="inlineStr">
        <is>
          <t>560R</t>
        </is>
      </c>
      <c r="D59" s="5" t="inlineStr">
        <is>
          <t>R_0603_1608Metric</t>
        </is>
      </c>
      <c r="E59" s="4" t="n">
        <v>3</v>
      </c>
      <c r="F59" s="5" t="inlineStr">
        <is>
          <t>Sunrom</t>
        </is>
      </c>
      <c r="G59" s="5" t="inlineStr">
        <is>
          <t>SR-5190</t>
        </is>
      </c>
      <c r="H59" s="6" t="n">
        <v>0.35</v>
      </c>
      <c r="I59" s="6">
        <f>E59*H59</f>
        <v/>
      </c>
      <c r="J59" s="7" t="inlineStr">
        <is>
          <t>Click to View Part</t>
        </is>
      </c>
    </row>
    <row r="60" ht="20" customHeight="1">
      <c r="A60" s="8" t="n">
        <v>56</v>
      </c>
      <c r="B60" s="9" t="inlineStr">
        <is>
          <t>R77</t>
        </is>
      </c>
      <c r="C60" s="9" t="inlineStr">
        <is>
          <t>549R</t>
        </is>
      </c>
      <c r="D60" s="9" t="inlineStr">
        <is>
          <t>R_0603_1608Metric</t>
        </is>
      </c>
      <c r="E60" s="8" t="n">
        <v>1</v>
      </c>
      <c r="F60" s="9" t="inlineStr">
        <is>
          <t>Sunrom</t>
        </is>
      </c>
      <c r="G60" s="9" t="inlineStr">
        <is>
          <t>SR-5190</t>
        </is>
      </c>
      <c r="H60" s="10" t="n">
        <v>0.35</v>
      </c>
      <c r="I60" s="10">
        <f>E60*H60</f>
        <v/>
      </c>
      <c r="J60" s="11" t="inlineStr">
        <is>
          <t>Click to View Part</t>
        </is>
      </c>
    </row>
    <row r="61" ht="20" customHeight="1">
      <c r="A61" s="4" t="n">
        <v>57</v>
      </c>
      <c r="B61" s="5" t="inlineStr">
        <is>
          <t>U7</t>
        </is>
      </c>
      <c r="C61" s="5" t="inlineStr">
        <is>
          <t>TPS63700DRCR</t>
        </is>
      </c>
      <c r="D61" s="5" t="inlineStr">
        <is>
          <t>TPS63700DRCR</t>
        </is>
      </c>
      <c r="E61" s="4" t="n">
        <v>1</v>
      </c>
      <c r="F61" s="5" t="inlineStr">
        <is>
          <t>Robu.in</t>
        </is>
      </c>
      <c r="G61" s="5" t="inlineStr">
        <is>
          <t>ROBU-TPS63700DR</t>
        </is>
      </c>
      <c r="H61" s="6" t="n">
        <v>1.2</v>
      </c>
      <c r="I61" s="6">
        <f>E61*H61</f>
        <v/>
      </c>
      <c r="J61" s="7" t="inlineStr">
        <is>
          <t>Click to View Part</t>
        </is>
      </c>
    </row>
    <row r="62" ht="20" customHeight="1">
      <c r="A62" s="8" t="n">
        <v>58</v>
      </c>
      <c r="B62" s="9" t="inlineStr">
        <is>
          <t>J9</t>
        </is>
      </c>
      <c r="C62" s="9" t="inlineStr">
        <is>
          <t>Conn_01x02_Pin</t>
        </is>
      </c>
      <c r="D62" s="9" t="inlineStr">
        <is>
          <t>JST_XA_B02B-XASK-1_1x02_P2.50mm_Vertical</t>
        </is>
      </c>
      <c r="E62" s="8" t="n">
        <v>1</v>
      </c>
      <c r="F62" s="9" t="inlineStr">
        <is>
          <t>Robu.in</t>
        </is>
      </c>
      <c r="G62" s="9" t="inlineStr">
        <is>
          <t>ROBU-CONN01X02P</t>
        </is>
      </c>
      <c r="H62" s="10" t="n">
        <v>1.2</v>
      </c>
      <c r="I62" s="10">
        <f>E62*H62</f>
        <v/>
      </c>
      <c r="J62" s="11" t="inlineStr">
        <is>
          <t>Click to View Part</t>
        </is>
      </c>
    </row>
    <row r="63" ht="20" customHeight="1">
      <c r="A63" s="4" t="n">
        <v>59</v>
      </c>
      <c r="B63" s="5" t="inlineStr">
        <is>
          <t>C101,C104</t>
        </is>
      </c>
      <c r="C63" s="5" t="inlineStr">
        <is>
          <t>12pF</t>
        </is>
      </c>
      <c r="D63" s="5" t="inlineStr">
        <is>
          <t>C_0603_1608Metric</t>
        </is>
      </c>
      <c r="E63" s="4" t="n">
        <v>2</v>
      </c>
      <c r="F63" s="5" t="inlineStr">
        <is>
          <t>Sunrom</t>
        </is>
      </c>
      <c r="G63" s="5" t="inlineStr">
        <is>
          <t>SR-CAP-104</t>
        </is>
      </c>
      <c r="H63" s="6" t="n">
        <v>0.65</v>
      </c>
      <c r="I63" s="6">
        <f>E63*H63</f>
        <v/>
      </c>
      <c r="J63" s="7" t="inlineStr">
        <is>
          <t>Click to View Part</t>
        </is>
      </c>
    </row>
    <row r="64" ht="20" customHeight="1">
      <c r="A64" s="8" t="n">
        <v>60</v>
      </c>
      <c r="B64" s="9" t="inlineStr">
        <is>
          <t>R44</t>
        </is>
      </c>
      <c r="C64" s="9" t="inlineStr">
        <is>
          <t>10K/DNP</t>
        </is>
      </c>
      <c r="D64" s="9" t="inlineStr">
        <is>
          <t>R_0603_1608Metric</t>
        </is>
      </c>
      <c r="E64" s="8" t="n">
        <v>1</v>
      </c>
      <c r="F64" s="9" t="inlineStr">
        <is>
          <t>Sunrom</t>
        </is>
      </c>
      <c r="G64" s="9" t="inlineStr">
        <is>
          <t>SR-5190</t>
        </is>
      </c>
      <c r="H64" s="10" t="n">
        <v>0.35</v>
      </c>
      <c r="I64" s="10">
        <f>E64*H64</f>
        <v/>
      </c>
      <c r="J64" s="11" t="inlineStr">
        <is>
          <t>Click to View Part</t>
        </is>
      </c>
    </row>
    <row r="65" ht="20" customHeight="1">
      <c r="A65" s="4" t="n">
        <v>61</v>
      </c>
      <c r="B65" s="5" t="inlineStr">
        <is>
          <t>J1</t>
        </is>
      </c>
      <c r="C65" s="5" t="inlineStr">
        <is>
          <t>Conn_01x04_Pin</t>
        </is>
      </c>
      <c r="D65" s="5" t="inlineStr">
        <is>
          <t>PinHeader_1x04_P2.54mm_Vertical</t>
        </is>
      </c>
      <c r="E65" s="4" t="n">
        <v>1</v>
      </c>
      <c r="F65" s="5" t="inlineStr">
        <is>
          <t>Robu.in</t>
        </is>
      </c>
      <c r="G65" s="5" t="inlineStr">
        <is>
          <t>ROBU-CONN01X04P</t>
        </is>
      </c>
      <c r="H65" s="6" t="n">
        <v>1.2</v>
      </c>
      <c r="I65" s="6">
        <f>E65*H65</f>
        <v/>
      </c>
      <c r="J65" s="7" t="inlineStr">
        <is>
          <t>Click to View Part</t>
        </is>
      </c>
    </row>
    <row r="66" ht="20" customHeight="1">
      <c r="A66" s="8" t="n">
        <v>62</v>
      </c>
      <c r="B66" s="9" t="inlineStr">
        <is>
          <t>C74</t>
        </is>
      </c>
      <c r="C66" s="9" t="inlineStr">
        <is>
          <t>0.047uF</t>
        </is>
      </c>
      <c r="D66" s="9" t="inlineStr">
        <is>
          <t>C_0603_1608Metric</t>
        </is>
      </c>
      <c r="E66" s="8" t="n">
        <v>1</v>
      </c>
      <c r="F66" s="9" t="inlineStr">
        <is>
          <t>Sunrom</t>
        </is>
      </c>
      <c r="G66" s="9" t="inlineStr">
        <is>
          <t>SR-CAP-104</t>
        </is>
      </c>
      <c r="H66" s="10" t="n">
        <v>0.65</v>
      </c>
      <c r="I66" s="10">
        <f>E66*H66</f>
        <v/>
      </c>
      <c r="J66" s="11" t="inlineStr">
        <is>
          <t>Click to View Part</t>
        </is>
      </c>
    </row>
    <row r="67" ht="20" customHeight="1">
      <c r="A67" s="4" t="n">
        <v>63</v>
      </c>
      <c r="B67" s="5" t="inlineStr">
        <is>
          <t>R81,R54,R61</t>
        </is>
      </c>
      <c r="C67" s="5" t="inlineStr">
        <is>
          <t>20K</t>
        </is>
      </c>
      <c r="D67" s="5" t="inlineStr">
        <is>
          <t>R_0603_1608Metric</t>
        </is>
      </c>
      <c r="E67" s="4" t="n">
        <v>3</v>
      </c>
      <c r="F67" s="5" t="inlineStr">
        <is>
          <t>Sunrom</t>
        </is>
      </c>
      <c r="G67" s="5" t="inlineStr">
        <is>
          <t>SR-5190</t>
        </is>
      </c>
      <c r="H67" s="6" t="n">
        <v>0.35</v>
      </c>
      <c r="I67" s="6">
        <f>E67*H67</f>
        <v/>
      </c>
      <c r="J67" s="7" t="inlineStr">
        <is>
          <t>Click to View Part</t>
        </is>
      </c>
    </row>
    <row r="68" ht="20" customHeight="1">
      <c r="A68" s="8" t="n">
        <v>64</v>
      </c>
      <c r="B68" s="9" t="inlineStr">
        <is>
          <t>U9</t>
        </is>
      </c>
      <c r="C68" s="9" t="inlineStr">
        <is>
          <t>BQ25306RTER</t>
        </is>
      </c>
      <c r="D68" s="9" t="inlineStr">
        <is>
          <t>IC_BQ25306RTER</t>
        </is>
      </c>
      <c r="E68" s="8" t="n">
        <v>1</v>
      </c>
      <c r="F68" s="9" t="inlineStr">
        <is>
          <t>Robu.in</t>
        </is>
      </c>
      <c r="G68" s="9" t="inlineStr">
        <is>
          <t>ROBU-BQ25306RTE</t>
        </is>
      </c>
      <c r="H68" s="10" t="n">
        <v>1.2</v>
      </c>
      <c r="I68" s="10">
        <f>E68*H68</f>
        <v/>
      </c>
      <c r="J68" s="11" t="inlineStr">
        <is>
          <t>Click to View Part</t>
        </is>
      </c>
    </row>
    <row r="69" ht="20" customHeight="1">
      <c r="A69" s="4" t="n">
        <v>65</v>
      </c>
      <c r="B69" s="5" t="inlineStr">
        <is>
          <t>J11</t>
        </is>
      </c>
      <c r="C69" s="5" t="inlineStr">
        <is>
          <t>Conn_01x04_Pin</t>
        </is>
      </c>
      <c r="D69" s="5" t="inlineStr">
        <is>
          <t>JST_XH_B4B-XH-AM_1x04_P2.50mm_Vertical</t>
        </is>
      </c>
      <c r="E69" s="4" t="n">
        <v>1</v>
      </c>
      <c r="F69" s="5" t="inlineStr">
        <is>
          <t>Robu.in</t>
        </is>
      </c>
      <c r="G69" s="5" t="inlineStr">
        <is>
          <t>ROBU-CONN01X04P</t>
        </is>
      </c>
      <c r="H69" s="6" t="n">
        <v>1.2</v>
      </c>
      <c r="I69" s="6">
        <f>E69*H69</f>
        <v/>
      </c>
      <c r="J69" s="7" t="inlineStr">
        <is>
          <t>Click to View Part</t>
        </is>
      </c>
    </row>
    <row r="70" ht="20" customHeight="1">
      <c r="A70" s="8" t="n">
        <v>66</v>
      </c>
      <c r="B70" s="9" t="inlineStr">
        <is>
          <t>J6</t>
        </is>
      </c>
      <c r="C70" s="9" t="inlineStr">
        <is>
          <t>Conn_01x02_Pin</t>
        </is>
      </c>
      <c r="D70" s="9" t="inlineStr">
        <is>
          <t>PinHeader_1x02_P2.54mm_Vertical</t>
        </is>
      </c>
      <c r="E70" s="8" t="n">
        <v>1</v>
      </c>
      <c r="F70" s="9" t="inlineStr">
        <is>
          <t>Robu.in</t>
        </is>
      </c>
      <c r="G70" s="9" t="inlineStr">
        <is>
          <t>ROBU-CONN01X02P</t>
        </is>
      </c>
      <c r="H70" s="10" t="n">
        <v>1.2</v>
      </c>
      <c r="I70" s="10">
        <f>E70*H70</f>
        <v/>
      </c>
      <c r="J70" s="11" t="inlineStr">
        <is>
          <t>Click to View Part</t>
        </is>
      </c>
    </row>
    <row r="71" ht="20" customHeight="1">
      <c r="A71" s="4" t="n">
        <v>67</v>
      </c>
      <c r="B71" s="5" t="inlineStr">
        <is>
          <t>R10</t>
        </is>
      </c>
      <c r="C71" s="5" t="inlineStr">
        <is>
          <t>1k</t>
        </is>
      </c>
      <c r="D71" s="5" t="inlineStr">
        <is>
          <t>R_0603_1608Metric</t>
        </is>
      </c>
      <c r="E71" s="4" t="n">
        <v>1</v>
      </c>
      <c r="F71" s="5" t="inlineStr">
        <is>
          <t>Sunrom</t>
        </is>
      </c>
      <c r="G71" s="5" t="inlineStr">
        <is>
          <t>SR-5190</t>
        </is>
      </c>
      <c r="H71" s="6" t="n">
        <v>0.35</v>
      </c>
      <c r="I71" s="6">
        <f>E71*H71</f>
        <v/>
      </c>
      <c r="J71" s="7" t="inlineStr">
        <is>
          <t>Click to View Part</t>
        </is>
      </c>
    </row>
    <row r="72" ht="20" customHeight="1">
      <c r="A72" s="8" t="n">
        <v>68</v>
      </c>
      <c r="B72" s="9" t="inlineStr">
        <is>
          <t>J2,J3,J4</t>
        </is>
      </c>
      <c r="C72" s="9" t="inlineStr">
        <is>
          <t>NRJ4HH-1</t>
        </is>
      </c>
      <c r="D72" s="9" t="inlineStr">
        <is>
          <t>Jack_6.35mm_Neutrik_NRJ4HH-1_Horizontal</t>
        </is>
      </c>
      <c r="E72" s="8" t="n">
        <v>3</v>
      </c>
      <c r="F72" s="9" t="inlineStr">
        <is>
          <t>Robu.in</t>
        </is>
      </c>
      <c r="G72" s="9" t="inlineStr">
        <is>
          <t>ROBU-NRJ4HH1</t>
        </is>
      </c>
      <c r="H72" s="10" t="n">
        <v>1.2</v>
      </c>
      <c r="I72" s="10">
        <f>E72*H72</f>
        <v/>
      </c>
      <c r="J72" s="11" t="inlineStr">
        <is>
          <t>Click to View Part</t>
        </is>
      </c>
    </row>
    <row r="73" ht="20" customHeight="1">
      <c r="A73" s="4" t="n">
        <v>69</v>
      </c>
      <c r="B73" s="5" t="inlineStr">
        <is>
          <t>U4</t>
        </is>
      </c>
      <c r="C73" s="5" t="inlineStr">
        <is>
          <t>OPA1622</t>
        </is>
      </c>
      <c r="D73" s="5" t="inlineStr">
        <is>
          <t>SON50P300X300X100-11N</t>
        </is>
      </c>
      <c r="E73" s="4" t="n">
        <v>1</v>
      </c>
      <c r="F73" s="5" t="inlineStr">
        <is>
          <t>Robu.in</t>
        </is>
      </c>
      <c r="G73" s="5" t="inlineStr">
        <is>
          <t>ROBU-OPA1622</t>
        </is>
      </c>
      <c r="H73" s="6" t="n">
        <v>1.2</v>
      </c>
      <c r="I73" s="6">
        <f>E73*H73</f>
        <v/>
      </c>
      <c r="J73" s="7" t="inlineStr">
        <is>
          <t>Click to View Part</t>
        </is>
      </c>
    </row>
    <row r="74" ht="20" customHeight="1">
      <c r="A74" s="8" t="n">
        <v>70</v>
      </c>
      <c r="B74" s="9" t="inlineStr">
        <is>
          <t>X1</t>
        </is>
      </c>
      <c r="C74" s="9" t="inlineStr">
        <is>
          <t>USB-B1HSB6</t>
        </is>
      </c>
      <c r="D74" s="9" t="inlineStr">
        <is>
          <t>USB_B_OST_USB-B1HSxx_Horizontal</t>
        </is>
      </c>
      <c r="E74" s="8" t="n">
        <v>1</v>
      </c>
      <c r="F74" s="9" t="inlineStr">
        <is>
          <t>Robu.in</t>
        </is>
      </c>
      <c r="G74" s="9" t="inlineStr">
        <is>
          <t>ROBU-USBB1HSB6</t>
        </is>
      </c>
      <c r="H74" s="10" t="n">
        <v>1.2</v>
      </c>
      <c r="I74" s="10">
        <f>E74*H74</f>
        <v/>
      </c>
      <c r="J74" s="11" t="inlineStr">
        <is>
          <t>Click to View Part</t>
        </is>
      </c>
    </row>
    <row r="75" ht="20" customHeight="1">
      <c r="A75" s="4" t="n">
        <v>71</v>
      </c>
      <c r="B75" s="5" t="inlineStr">
        <is>
          <t>D4</t>
        </is>
      </c>
      <c r="C75" s="5" t="inlineStr">
        <is>
          <t>SL02</t>
        </is>
      </c>
      <c r="D75" s="5" t="inlineStr">
        <is>
          <t>D_SMF</t>
        </is>
      </c>
      <c r="E75" s="4" t="n">
        <v>1</v>
      </c>
      <c r="F75" s="5" t="inlineStr">
        <is>
          <t>Robu.in</t>
        </is>
      </c>
      <c r="G75" s="5" t="inlineStr">
        <is>
          <t>ROBU-SL02</t>
        </is>
      </c>
      <c r="H75" s="6" t="n">
        <v>1.2</v>
      </c>
      <c r="I75" s="6">
        <f>E75*H75</f>
        <v/>
      </c>
      <c r="J75" s="7" t="inlineStr">
        <is>
          <t>Click to View Part</t>
        </is>
      </c>
    </row>
    <row r="76" ht="20" customHeight="1">
      <c r="A76" s="8" t="n">
        <v>72</v>
      </c>
      <c r="B76" s="9" t="inlineStr">
        <is>
          <t>C72</t>
        </is>
      </c>
      <c r="C76" s="9" t="inlineStr">
        <is>
          <t>100uF/25V</t>
        </is>
      </c>
      <c r="D76" s="9" t="inlineStr">
        <is>
          <t>CP_Elec_6.3x4.5</t>
        </is>
      </c>
      <c r="E76" s="8" t="n">
        <v>1</v>
      </c>
      <c r="F76" s="9" t="inlineStr">
        <is>
          <t>Sunrom</t>
        </is>
      </c>
      <c r="G76" s="9" t="inlineStr">
        <is>
          <t>SR-CAP-104</t>
        </is>
      </c>
      <c r="H76" s="10" t="n">
        <v>0.65</v>
      </c>
      <c r="I76" s="10">
        <f>E76*H76</f>
        <v/>
      </c>
      <c r="J76" s="11" t="inlineStr">
        <is>
          <t>Click to View Part</t>
        </is>
      </c>
    </row>
    <row r="77" ht="20" customHeight="1">
      <c r="A77" s="4" t="n">
        <v>73</v>
      </c>
      <c r="B77" s="5" t="inlineStr">
        <is>
          <t>JP14,JP3</t>
        </is>
      </c>
      <c r="C77" s="5" t="inlineStr">
        <is>
          <t>Jumper_2_Open</t>
        </is>
      </c>
      <c r="D77" s="5" t="inlineStr">
        <is>
          <t>SolderJumper-2_P1.3mm_Open_Pad1.0x1.5mm</t>
        </is>
      </c>
      <c r="E77" s="4" t="n">
        <v>2</v>
      </c>
      <c r="F77" s="5" t="inlineStr">
        <is>
          <t>N/A (Virtual)</t>
        </is>
      </c>
      <c r="G77" s="5" t="inlineStr">
        <is>
          <t>N/A</t>
        </is>
      </c>
      <c r="H77" s="6" t="n">
        <v>0</v>
      </c>
      <c r="I77" s="6">
        <f>E77*H77</f>
        <v/>
      </c>
      <c r="J77" s="4" t="inlineStr">
        <is>
          <t>N/A</t>
        </is>
      </c>
    </row>
    <row r="78" ht="20" customHeight="1">
      <c r="A78" s="8" t="n">
        <v>74</v>
      </c>
      <c r="B78" s="9" t="inlineStr">
        <is>
          <t>R73</t>
        </is>
      </c>
      <c r="C78" s="9" t="inlineStr">
        <is>
          <t>75K</t>
        </is>
      </c>
      <c r="D78" s="9" t="inlineStr">
        <is>
          <t>R_0603_1608Metric</t>
        </is>
      </c>
      <c r="E78" s="8" t="n">
        <v>1</v>
      </c>
      <c r="F78" s="9" t="inlineStr">
        <is>
          <t>Sunrom</t>
        </is>
      </c>
      <c r="G78" s="9" t="inlineStr">
        <is>
          <t>SR-5190</t>
        </is>
      </c>
      <c r="H78" s="10" t="n">
        <v>0.35</v>
      </c>
      <c r="I78" s="10">
        <f>E78*H78</f>
        <v/>
      </c>
      <c r="J78" s="11" t="inlineStr">
        <is>
          <t>Click to View Part</t>
        </is>
      </c>
    </row>
    <row r="79" ht="20" customHeight="1">
      <c r="A79" s="4" t="n">
        <v>75</v>
      </c>
      <c r="B79" s="5" t="inlineStr">
        <is>
          <t>U14</t>
        </is>
      </c>
      <c r="C79" s="5" t="inlineStr">
        <is>
          <t>FM25CL64B-G</t>
        </is>
      </c>
      <c r="D79" s="5" t="inlineStr">
        <is>
          <t>SOIC-8_3.9x4.9mm_P1.27mm</t>
        </is>
      </c>
      <c r="E79" s="4" t="n">
        <v>1</v>
      </c>
      <c r="F79" s="5" t="inlineStr">
        <is>
          <t>Robu.in</t>
        </is>
      </c>
      <c r="G79" s="5" t="inlineStr">
        <is>
          <t>ROBU-FM25CL64BG</t>
        </is>
      </c>
      <c r="H79" s="6" t="n">
        <v>1.2</v>
      </c>
      <c r="I79" s="6">
        <f>E79*H79</f>
        <v/>
      </c>
      <c r="J79" s="7" t="inlineStr">
        <is>
          <t>Click to View Part</t>
        </is>
      </c>
    </row>
    <row r="80" ht="20" customHeight="1">
      <c r="A80" s="8" t="n">
        <v>76</v>
      </c>
      <c r="B80" s="9" t="inlineStr">
        <is>
          <t>IC7</t>
        </is>
      </c>
      <c r="C80" s="9" t="inlineStr">
        <is>
          <t>TPS564252DRLR</t>
        </is>
      </c>
      <c r="D80" s="9" t="inlineStr">
        <is>
          <t>SOT-563</t>
        </is>
      </c>
      <c r="E80" s="8" t="n">
        <v>1</v>
      </c>
      <c r="F80" s="9" t="inlineStr">
        <is>
          <t>Robu.in</t>
        </is>
      </c>
      <c r="G80" s="9" t="inlineStr">
        <is>
          <t>ROBU-TPS564252D</t>
        </is>
      </c>
      <c r="H80" s="10" t="n">
        <v>1.2</v>
      </c>
      <c r="I80" s="10">
        <f>E80*H80</f>
        <v/>
      </c>
      <c r="J80" s="11" t="inlineStr">
        <is>
          <t>Click to View Part</t>
        </is>
      </c>
    </row>
    <row r="81" ht="20" customHeight="1">
      <c r="A81" s="4" t="n">
        <v>77</v>
      </c>
      <c r="B81" s="5" t="inlineStr">
        <is>
          <t>R51</t>
        </is>
      </c>
      <c r="C81" s="5" t="inlineStr">
        <is>
          <t>1.33M</t>
        </is>
      </c>
      <c r="D81" s="5" t="inlineStr">
        <is>
          <t>R_0603_1608Metric</t>
        </is>
      </c>
      <c r="E81" s="4" t="n">
        <v>1</v>
      </c>
      <c r="F81" s="5" t="inlineStr">
        <is>
          <t>Sunrom</t>
        </is>
      </c>
      <c r="G81" s="5" t="inlineStr">
        <is>
          <t>SR-5190</t>
        </is>
      </c>
      <c r="H81" s="6" t="n">
        <v>0.35</v>
      </c>
      <c r="I81" s="6">
        <f>E81*H81</f>
        <v/>
      </c>
      <c r="J81" s="7" t="inlineStr">
        <is>
          <t>Click to View Part</t>
        </is>
      </c>
    </row>
    <row r="82" ht="20" customHeight="1">
      <c r="A82" s="8" t="n">
        <v>78</v>
      </c>
      <c r="B82" s="9" t="inlineStr">
        <is>
          <t>R27,R28</t>
        </is>
      </c>
      <c r="C82" s="9" t="inlineStr">
        <is>
          <t>470R</t>
        </is>
      </c>
      <c r="D82" s="9" t="inlineStr">
        <is>
          <t>R_0603_1608Metric</t>
        </is>
      </c>
      <c r="E82" s="8" t="n">
        <v>2</v>
      </c>
      <c r="F82" s="9" t="inlineStr">
        <is>
          <t>Sunrom</t>
        </is>
      </c>
      <c r="G82" s="9" t="inlineStr">
        <is>
          <t>SR-5190</t>
        </is>
      </c>
      <c r="H82" s="10" t="n">
        <v>0.35</v>
      </c>
      <c r="I82" s="10">
        <f>E82*H82</f>
        <v/>
      </c>
      <c r="J82" s="11" t="inlineStr">
        <is>
          <t>Click to View Part</t>
        </is>
      </c>
    </row>
    <row r="83" ht="20" customHeight="1">
      <c r="A83" s="4" t="n">
        <v>79</v>
      </c>
      <c r="B83" s="5" t="inlineStr">
        <is>
          <t>J12</t>
        </is>
      </c>
      <c r="C83" s="5" t="inlineStr">
        <is>
          <t>Jack-DC</t>
        </is>
      </c>
      <c r="D83" s="5" t="inlineStr">
        <is>
          <t>BarrelJack_Horizontal</t>
        </is>
      </c>
      <c r="E83" s="4" t="n">
        <v>1</v>
      </c>
      <c r="F83" s="5" t="inlineStr">
        <is>
          <t>Robu.in</t>
        </is>
      </c>
      <c r="G83" s="5" t="inlineStr">
        <is>
          <t>ROBU-JACKDC</t>
        </is>
      </c>
      <c r="H83" s="6" t="n">
        <v>1.2</v>
      </c>
      <c r="I83" s="6">
        <f>E83*H83</f>
        <v/>
      </c>
      <c r="J83" s="7" t="inlineStr">
        <is>
          <t>Click to View Part</t>
        </is>
      </c>
    </row>
    <row r="84" ht="20" customHeight="1">
      <c r="A84" s="8" t="n">
        <v>80</v>
      </c>
      <c r="B84" s="9" t="inlineStr">
        <is>
          <t>U2</t>
        </is>
      </c>
      <c r="C84" s="9" t="inlineStr">
        <is>
          <t>ISO6521DR</t>
        </is>
      </c>
      <c r="D84" s="9" t="inlineStr">
        <is>
          <t>SOIC-8_3.9x4.9mm_P1.27mm</t>
        </is>
      </c>
      <c r="E84" s="8" t="n">
        <v>1</v>
      </c>
      <c r="F84" s="9" t="inlineStr">
        <is>
          <t>Robu.in</t>
        </is>
      </c>
      <c r="G84" s="9" t="inlineStr">
        <is>
          <t>ROBU-ISO6521DR</t>
        </is>
      </c>
      <c r="H84" s="10" t="n">
        <v>1.2</v>
      </c>
      <c r="I84" s="10">
        <f>E84*H84</f>
        <v/>
      </c>
      <c r="J84" s="11" t="inlineStr">
        <is>
          <t>Click to View Part</t>
        </is>
      </c>
    </row>
    <row r="85" ht="20" customHeight="1">
      <c r="A85" s="4" t="n">
        <v>81</v>
      </c>
      <c r="B85" s="5" t="inlineStr">
        <is>
          <t>U12</t>
        </is>
      </c>
      <c r="C85" s="5" t="inlineStr">
        <is>
          <t>D3V3XA4B10LP</t>
        </is>
      </c>
      <c r="D85" s="5" t="inlineStr">
        <is>
          <t>Diodes_UDFN-10_1.0x2.5mm_P0.5mm</t>
        </is>
      </c>
      <c r="E85" s="4" t="n">
        <v>1</v>
      </c>
      <c r="F85" s="5" t="inlineStr">
        <is>
          <t>Robu.in</t>
        </is>
      </c>
      <c r="G85" s="5" t="inlineStr">
        <is>
          <t>ROBU-D3V3XA4B10</t>
        </is>
      </c>
      <c r="H85" s="6" t="n">
        <v>1.2</v>
      </c>
      <c r="I85" s="6">
        <f>E85*H85</f>
        <v/>
      </c>
      <c r="J85" s="7" t="inlineStr">
        <is>
          <t>Click to View Part</t>
        </is>
      </c>
    </row>
    <row r="86" ht="20" customHeight="1">
      <c r="A86" s="8" t="n">
        <v>82</v>
      </c>
      <c r="B86" s="9" t="inlineStr">
        <is>
          <t>R42</t>
        </is>
      </c>
      <c r="C86" s="9" t="inlineStr">
        <is>
          <t>22K</t>
        </is>
      </c>
      <c r="D86" s="9" t="inlineStr">
        <is>
          <t>R_0603_1608Metric</t>
        </is>
      </c>
      <c r="E86" s="8" t="n">
        <v>1</v>
      </c>
      <c r="F86" s="9" t="inlineStr">
        <is>
          <t>Sunrom</t>
        </is>
      </c>
      <c r="G86" s="9" t="inlineStr">
        <is>
          <t>SR-5190</t>
        </is>
      </c>
      <c r="H86" s="10" t="n">
        <v>0.35</v>
      </c>
      <c r="I86" s="10">
        <f>E86*H86</f>
        <v/>
      </c>
      <c r="J86" s="11" t="inlineStr">
        <is>
          <t>Click to View Part</t>
        </is>
      </c>
    </row>
    <row r="87" ht="20" customHeight="1">
      <c r="A87" s="4" t="n">
        <v>83</v>
      </c>
      <c r="B87" s="5" t="inlineStr">
        <is>
          <t>J10</t>
        </is>
      </c>
      <c r="C87" s="5" t="inlineStr">
        <is>
          <t>1048</t>
        </is>
      </c>
      <c r="D87" s="5" t="inlineStr">
        <is>
          <t>CONN4_1048_KEY</t>
        </is>
      </c>
      <c r="E87" s="4" t="n">
        <v>1</v>
      </c>
      <c r="F87" s="5" t="inlineStr">
        <is>
          <t>Robu.in</t>
        </is>
      </c>
      <c r="G87" s="5" t="inlineStr">
        <is>
          <t>ROBU-1048</t>
        </is>
      </c>
      <c r="H87" s="6" t="n">
        <v>1.2</v>
      </c>
      <c r="I87" s="6">
        <f>E87*H87</f>
        <v/>
      </c>
      <c r="J87" s="7" t="inlineStr">
        <is>
          <t>Click to View Part</t>
        </is>
      </c>
    </row>
    <row r="88" ht="20" customHeight="1">
      <c r="A88" s="8" t="n">
        <v>84</v>
      </c>
      <c r="B88" s="9" t="inlineStr">
        <is>
          <t>R72</t>
        </is>
      </c>
      <c r="C88" s="9" t="inlineStr">
        <is>
          <t>0R/DNP</t>
        </is>
      </c>
      <c r="D88" s="9" t="inlineStr">
        <is>
          <t>R_0603_1608Metric</t>
        </is>
      </c>
      <c r="E88" s="8" t="n">
        <v>1</v>
      </c>
      <c r="F88" s="9" t="inlineStr">
        <is>
          <t>Sunrom</t>
        </is>
      </c>
      <c r="G88" s="9" t="inlineStr">
        <is>
          <t>SR-5190</t>
        </is>
      </c>
      <c r="H88" s="10" t="n">
        <v>0.35</v>
      </c>
      <c r="I88" s="10">
        <f>E88*H88</f>
        <v/>
      </c>
      <c r="J88" s="11" t="inlineStr">
        <is>
          <t>Click to View Part</t>
        </is>
      </c>
    </row>
    <row r="89" ht="20" customHeight="1">
      <c r="A89" s="4" t="n">
        <v>85</v>
      </c>
      <c r="B89" s="5" t="inlineStr">
        <is>
          <t>R50</t>
        </is>
      </c>
      <c r="C89" s="5" t="inlineStr">
        <is>
          <t>200K</t>
        </is>
      </c>
      <c r="D89" s="5" t="inlineStr">
        <is>
          <t>R_0603_1608Metric</t>
        </is>
      </c>
      <c r="E89" s="4" t="n">
        <v>1</v>
      </c>
      <c r="F89" s="5" t="inlineStr">
        <is>
          <t>Sunrom</t>
        </is>
      </c>
      <c r="G89" s="5" t="inlineStr">
        <is>
          <t>SR-5190</t>
        </is>
      </c>
      <c r="H89" s="6" t="n">
        <v>0.35</v>
      </c>
      <c r="I89" s="6">
        <f>E89*H89</f>
        <v/>
      </c>
      <c r="J89" s="7" t="inlineStr">
        <is>
          <t>Click to View Part</t>
        </is>
      </c>
    </row>
    <row r="90" ht="20" customHeight="1">
      <c r="A90" s="8" t="n">
        <v>86</v>
      </c>
      <c r="B90" s="9" t="inlineStr">
        <is>
          <t>C43</t>
        </is>
      </c>
      <c r="C90" s="9" t="inlineStr">
        <is>
          <t>4.7nF</t>
        </is>
      </c>
      <c r="D90" s="9" t="inlineStr">
        <is>
          <t>C_0603_1608Metric</t>
        </is>
      </c>
      <c r="E90" s="8" t="n">
        <v>1</v>
      </c>
      <c r="F90" s="9" t="inlineStr">
        <is>
          <t>Sunrom</t>
        </is>
      </c>
      <c r="G90" s="9" t="inlineStr">
        <is>
          <t>SR-CAP-104</t>
        </is>
      </c>
      <c r="H90" s="10" t="n">
        <v>0.65</v>
      </c>
      <c r="I90" s="10">
        <f>E90*H90</f>
        <v/>
      </c>
      <c r="J90" s="11" t="inlineStr">
        <is>
          <t>Click to View Part</t>
        </is>
      </c>
    </row>
    <row r="91" ht="20" customHeight="1">
      <c r="A91" s="4" t="n">
        <v>87</v>
      </c>
      <c r="B91" s="5" t="inlineStr">
        <is>
          <t>C63</t>
        </is>
      </c>
      <c r="C91" s="5" t="inlineStr">
        <is>
          <t>0.01uF</t>
        </is>
      </c>
      <c r="D91" s="5" t="inlineStr">
        <is>
          <t>C_0603_1608Metric</t>
        </is>
      </c>
      <c r="E91" s="4" t="n">
        <v>1</v>
      </c>
      <c r="F91" s="5" t="inlineStr">
        <is>
          <t>Sunrom</t>
        </is>
      </c>
      <c r="G91" s="5" t="inlineStr">
        <is>
          <t>SR-CAP-104</t>
        </is>
      </c>
      <c r="H91" s="6" t="n">
        <v>0.65</v>
      </c>
      <c r="I91" s="6">
        <f>E91*H91</f>
        <v/>
      </c>
      <c r="J91" s="7" t="inlineStr">
        <is>
          <t>Click to View Part</t>
        </is>
      </c>
    </row>
    <row r="92" ht="20" customHeight="1">
      <c r="A92" s="8" t="n">
        <v>88</v>
      </c>
      <c r="B92" s="9" t="inlineStr">
        <is>
          <t>PS1</t>
        </is>
      </c>
      <c r="C92" s="9" t="inlineStr">
        <is>
          <t>VRB1205YMD-5WR3</t>
        </is>
      </c>
      <c r="D92" s="9" t="inlineStr">
        <is>
          <t>VRB1205YMD5WR3</t>
        </is>
      </c>
      <c r="E92" s="8" t="n">
        <v>1</v>
      </c>
      <c r="F92" s="9" t="inlineStr">
        <is>
          <t>Robu.in</t>
        </is>
      </c>
      <c r="G92" s="9" t="inlineStr">
        <is>
          <t>ROBU-VRB1205YMD</t>
        </is>
      </c>
      <c r="H92" s="10" t="n">
        <v>1.2</v>
      </c>
      <c r="I92" s="10">
        <f>E92*H92</f>
        <v/>
      </c>
      <c r="J92" s="11" t="inlineStr">
        <is>
          <t>Click to View Part</t>
        </is>
      </c>
    </row>
    <row r="93" ht="20" customHeight="1">
      <c r="A93" s="4" t="n">
        <v>89</v>
      </c>
      <c r="B93" s="5" t="inlineStr">
        <is>
          <t>R79,R67</t>
        </is>
      </c>
      <c r="C93" s="5" t="inlineStr">
        <is>
          <t>11K</t>
        </is>
      </c>
      <c r="D93" s="5" t="inlineStr">
        <is>
          <t>R_0603_1608Metric</t>
        </is>
      </c>
      <c r="E93" s="4" t="n">
        <v>2</v>
      </c>
      <c r="F93" s="5" t="inlineStr">
        <is>
          <t>Sunrom</t>
        </is>
      </c>
      <c r="G93" s="5" t="inlineStr">
        <is>
          <t>SR-5190</t>
        </is>
      </c>
      <c r="H93" s="6" t="n">
        <v>0.35</v>
      </c>
      <c r="I93" s="6">
        <f>E93*H93</f>
        <v/>
      </c>
      <c r="J93" s="7" t="inlineStr">
        <is>
          <t>Click to View Part</t>
        </is>
      </c>
    </row>
    <row r="94" ht="20" customHeight="1">
      <c r="A94" s="8" t="n">
        <v>90</v>
      </c>
      <c r="B94" s="9" t="inlineStr">
        <is>
          <t>C100</t>
        </is>
      </c>
      <c r="C94" s="9" t="inlineStr">
        <is>
          <t>3.3nF</t>
        </is>
      </c>
      <c r="D94" s="9" t="inlineStr">
        <is>
          <t>C_0603_1608Metric</t>
        </is>
      </c>
      <c r="E94" s="8" t="n">
        <v>1</v>
      </c>
      <c r="F94" s="9" t="inlineStr">
        <is>
          <t>Sunrom</t>
        </is>
      </c>
      <c r="G94" s="9" t="inlineStr">
        <is>
          <t>SR-CAP-104</t>
        </is>
      </c>
      <c r="H94" s="10" t="n">
        <v>0.65</v>
      </c>
      <c r="I94" s="10">
        <f>E94*H94</f>
        <v/>
      </c>
      <c r="J94" s="11" t="inlineStr">
        <is>
          <t>Click to View Part</t>
        </is>
      </c>
    </row>
    <row r="95" ht="20" customHeight="1">
      <c r="A95" s="4" t="n">
        <v>91</v>
      </c>
      <c r="B95" s="5" t="inlineStr">
        <is>
          <t>C75,C73</t>
        </is>
      </c>
      <c r="C95" s="5" t="inlineStr">
        <is>
          <t>220uF/25V</t>
        </is>
      </c>
      <c r="D95" s="5" t="inlineStr">
        <is>
          <t>CP_Elec_8x10.5</t>
        </is>
      </c>
      <c r="E95" s="4" t="n">
        <v>2</v>
      </c>
      <c r="F95" s="5" t="inlineStr">
        <is>
          <t>Sunrom</t>
        </is>
      </c>
      <c r="G95" s="5" t="inlineStr">
        <is>
          <t>SR-CAP-104</t>
        </is>
      </c>
      <c r="H95" s="6" t="n">
        <v>0.65</v>
      </c>
      <c r="I95" s="6">
        <f>E95*H95</f>
        <v/>
      </c>
      <c r="J95" s="7" t="inlineStr">
        <is>
          <t>Click to View Part</t>
        </is>
      </c>
    </row>
    <row r="96" ht="20" customHeight="1">
      <c r="A96" s="8" t="n">
        <v>92</v>
      </c>
      <c r="B96" s="9" t="inlineStr">
        <is>
          <t>C2,C1</t>
        </is>
      </c>
      <c r="C96" s="9" t="inlineStr">
        <is>
          <t>15pF/25V</t>
        </is>
      </c>
      <c r="D96" s="9" t="inlineStr">
        <is>
          <t>C_0402_1005Metric</t>
        </is>
      </c>
      <c r="E96" s="8" t="n">
        <v>2</v>
      </c>
      <c r="F96" s="9" t="inlineStr">
        <is>
          <t>Sunrom</t>
        </is>
      </c>
      <c r="G96" s="9" t="inlineStr">
        <is>
          <t>SR-CAP-104</t>
        </is>
      </c>
      <c r="H96" s="10" t="n">
        <v>0.65</v>
      </c>
      <c r="I96" s="10">
        <f>E96*H96</f>
        <v/>
      </c>
      <c r="J96" s="11" t="inlineStr">
        <is>
          <t>Click to View Part</t>
        </is>
      </c>
    </row>
    <row r="97" ht="20" customHeight="1">
      <c r="A97" s="4" t="n">
        <v>93</v>
      </c>
      <c r="B97" s="5" t="inlineStr">
        <is>
          <t>U8</t>
        </is>
      </c>
      <c r="C97" s="5" t="inlineStr">
        <is>
          <t>MAX4466EXK+T</t>
        </is>
      </c>
      <c r="D97" s="5" t="inlineStr">
        <is>
          <t>SOT-353_SC-70-5_Handsoldering</t>
        </is>
      </c>
      <c r="E97" s="4" t="n">
        <v>1</v>
      </c>
      <c r="F97" s="5" t="inlineStr">
        <is>
          <t>Robu.in</t>
        </is>
      </c>
      <c r="G97" s="5" t="inlineStr">
        <is>
          <t>ROBU-MAX4466EXK</t>
        </is>
      </c>
      <c r="H97" s="6" t="n">
        <v>1.2</v>
      </c>
      <c r="I97" s="6">
        <f>E97*H97</f>
        <v/>
      </c>
      <c r="J97" s="7" t="inlineStr">
        <is>
          <t>Click to View Part</t>
        </is>
      </c>
    </row>
    <row r="98" ht="20" customHeight="1">
      <c r="A98" s="8" t="n">
        <v>94</v>
      </c>
      <c r="B98" s="9" t="inlineStr">
        <is>
          <t>R66</t>
        </is>
      </c>
      <c r="C98" s="9" t="inlineStr">
        <is>
          <t>470K</t>
        </is>
      </c>
      <c r="D98" s="9" t="inlineStr">
        <is>
          <t>R_0603_1608Metric</t>
        </is>
      </c>
      <c r="E98" s="8" t="n">
        <v>1</v>
      </c>
      <c r="F98" s="9" t="inlineStr">
        <is>
          <t>Sunrom</t>
        </is>
      </c>
      <c r="G98" s="9" t="inlineStr">
        <is>
          <t>SR-5190</t>
        </is>
      </c>
      <c r="H98" s="10" t="n">
        <v>0.35</v>
      </c>
      <c r="I98" s="10">
        <f>E98*H98</f>
        <v/>
      </c>
      <c r="J98" s="11" t="inlineStr">
        <is>
          <t>Click to View Part</t>
        </is>
      </c>
    </row>
    <row r="99" ht="20" customHeight="1">
      <c r="A99" s="4" t="n">
        <v>95</v>
      </c>
      <c r="B99" s="5" t="inlineStr">
        <is>
          <t>IC5</t>
        </is>
      </c>
      <c r="C99" s="5" t="inlineStr">
        <is>
          <t>NX5L2750CGUX</t>
        </is>
      </c>
      <c r="D99" s="5" t="inlineStr">
        <is>
          <t>NX5L2750CGUX</t>
        </is>
      </c>
      <c r="E99" s="4" t="n">
        <v>1</v>
      </c>
      <c r="F99" s="5" t="inlineStr">
        <is>
          <t>Robu.in</t>
        </is>
      </c>
      <c r="G99" s="5" t="inlineStr">
        <is>
          <t>ROBU-NX5L2750CG</t>
        </is>
      </c>
      <c r="H99" s="6" t="n">
        <v>1.2</v>
      </c>
      <c r="I99" s="6">
        <f>E99*H99</f>
        <v/>
      </c>
      <c r="J99" s="7" t="inlineStr">
        <is>
          <t>Click to View Part</t>
        </is>
      </c>
    </row>
    <row r="100" ht="20" customHeight="1">
      <c r="A100" s="8" t="n">
        <v>96</v>
      </c>
      <c r="B100" s="9" t="inlineStr">
        <is>
          <t>J8</t>
        </is>
      </c>
      <c r="C100" s="9" t="inlineStr">
        <is>
          <t>Conn_02x10_Odd_Even</t>
        </is>
      </c>
      <c r="D100" s="9" t="inlineStr">
        <is>
          <t>IDC-Header_2x10_P2.54mm_Vertical</t>
        </is>
      </c>
      <c r="E100" s="8" t="n">
        <v>1</v>
      </c>
      <c r="F100" s="9" t="inlineStr">
        <is>
          <t>Robu.in</t>
        </is>
      </c>
      <c r="G100" s="9" t="inlineStr">
        <is>
          <t>ROBU-CONN02X10O</t>
        </is>
      </c>
      <c r="H100" s="10" t="n">
        <v>1.2</v>
      </c>
      <c r="I100" s="10">
        <f>E100*H100</f>
        <v/>
      </c>
      <c r="J100" s="11" t="inlineStr">
        <is>
          <t>Click to View Part</t>
        </is>
      </c>
    </row>
    <row r="101" ht="20" customHeight="1">
      <c r="A101" s="4" t="n">
        <v>97</v>
      </c>
      <c r="B101" s="5" t="inlineStr">
        <is>
          <t>U13</t>
        </is>
      </c>
      <c r="C101" s="5" t="inlineStr">
        <is>
          <t>CH340G</t>
        </is>
      </c>
      <c r="D101" s="5" t="inlineStr">
        <is>
          <t>SOIC-16_3.9x9.9mm_P1.27mm</t>
        </is>
      </c>
      <c r="E101" s="4" t="n">
        <v>1</v>
      </c>
      <c r="F101" s="5" t="inlineStr">
        <is>
          <t>Robu.in</t>
        </is>
      </c>
      <c r="G101" s="5" t="inlineStr">
        <is>
          <t>ROBU-CH340G</t>
        </is>
      </c>
      <c r="H101" s="6" t="n">
        <v>1.2</v>
      </c>
      <c r="I101" s="6">
        <f>E101*H101</f>
        <v/>
      </c>
      <c r="J101" s="7" t="inlineStr">
        <is>
          <t>Click to View Part</t>
        </is>
      </c>
    </row>
    <row r="102" ht="20" customHeight="1">
      <c r="A102" s="8" t="n">
        <v>98</v>
      </c>
      <c r="B102" s="9" t="inlineStr">
        <is>
          <t>U6</t>
        </is>
      </c>
      <c r="C102" s="9" t="inlineStr">
        <is>
          <t>PCM5102A</t>
        </is>
      </c>
      <c r="D102" s="9" t="inlineStr">
        <is>
          <t>TSSOP-20_4.4x6.5mm_P0.65mm</t>
        </is>
      </c>
      <c r="E102" s="8" t="n">
        <v>1</v>
      </c>
      <c r="F102" s="9" t="inlineStr">
        <is>
          <t>Robu.in</t>
        </is>
      </c>
      <c r="G102" s="9" t="inlineStr">
        <is>
          <t>ROBU-PCM5102A</t>
        </is>
      </c>
      <c r="H102" s="10" t="n">
        <v>1.2</v>
      </c>
      <c r="I102" s="10">
        <f>E102*H102</f>
        <v/>
      </c>
      <c r="J102" s="11" t="inlineStr">
        <is>
          <t>Click to View Part</t>
        </is>
      </c>
    </row>
    <row r="103" ht="20" customHeight="1">
      <c r="A103" s="4" t="n">
        <v>99</v>
      </c>
      <c r="B103" s="5" t="inlineStr">
        <is>
          <t>J13</t>
        </is>
      </c>
      <c r="C103" s="5" t="inlineStr">
        <is>
          <t>Micro_SD_Card</t>
        </is>
      </c>
      <c r="D103" s="5" t="inlineStr">
        <is>
          <t>MICROSDCARD</t>
        </is>
      </c>
      <c r="E103" s="4" t="n">
        <v>1</v>
      </c>
      <c r="F103" s="5" t="inlineStr">
        <is>
          <t>Robu.in</t>
        </is>
      </c>
      <c r="G103" s="5" t="inlineStr">
        <is>
          <t>ROBU-MICROSDCAR</t>
        </is>
      </c>
      <c r="H103" s="6" t="n">
        <v>1.2</v>
      </c>
      <c r="I103" s="6">
        <f>E103*H103</f>
        <v/>
      </c>
      <c r="J103" s="7" t="inlineStr">
        <is>
          <t>Click to View Part</t>
        </is>
      </c>
    </row>
    <row r="104" ht="20" customHeight="1">
      <c r="A104" s="8" t="n">
        <v>100</v>
      </c>
      <c r="B104" s="9" t="inlineStr">
        <is>
          <t>C84</t>
        </is>
      </c>
      <c r="C104" s="9" t="inlineStr">
        <is>
          <t>33nF</t>
        </is>
      </c>
      <c r="D104" s="9" t="inlineStr">
        <is>
          <t>C_0603_1608Metric</t>
        </is>
      </c>
      <c r="E104" s="8" t="n">
        <v>1</v>
      </c>
      <c r="F104" s="9" t="inlineStr">
        <is>
          <t>Sunrom</t>
        </is>
      </c>
      <c r="G104" s="9" t="inlineStr">
        <is>
          <t>SR-CAP-104</t>
        </is>
      </c>
      <c r="H104" s="10" t="n">
        <v>0.65</v>
      </c>
      <c r="I104" s="10">
        <f>E104*H104</f>
        <v/>
      </c>
      <c r="J104" s="11" t="inlineStr">
        <is>
          <t>Click to View Part</t>
        </is>
      </c>
    </row>
    <row r="105" ht="20" customHeight="1">
      <c r="A105" s="4" t="n">
        <v>101</v>
      </c>
      <c r="B105" s="5" t="inlineStr">
        <is>
          <t>U3,U5</t>
        </is>
      </c>
      <c r="C105" s="5" t="inlineStr">
        <is>
          <t>PGA2311U</t>
        </is>
      </c>
      <c r="D105" s="5" t="inlineStr">
        <is>
          <t>SOIC-16W_7.5x10.3mm_P1.27mm</t>
        </is>
      </c>
      <c r="E105" s="4" t="n">
        <v>2</v>
      </c>
      <c r="F105" s="5" t="inlineStr">
        <is>
          <t>Robu.in</t>
        </is>
      </c>
      <c r="G105" s="5" t="inlineStr">
        <is>
          <t>ROBU-PGA2311U</t>
        </is>
      </c>
      <c r="H105" s="6" t="n">
        <v>1.2</v>
      </c>
      <c r="I105" s="6">
        <f>E105*H105</f>
        <v/>
      </c>
      <c r="J105" s="7" t="inlineStr">
        <is>
          <t>Click to View Part</t>
        </is>
      </c>
    </row>
    <row r="106" ht="20" customHeight="1">
      <c r="A106" s="8" t="n">
        <v>102</v>
      </c>
      <c r="B106" s="9" t="inlineStr">
        <is>
          <t>L4</t>
        </is>
      </c>
      <c r="C106" s="9" t="inlineStr">
        <is>
          <t>1uH</t>
        </is>
      </c>
      <c r="D106" s="9" t="inlineStr">
        <is>
          <t>L_Sunlord_SWPA4020S</t>
        </is>
      </c>
      <c r="E106" s="8" t="n">
        <v>1</v>
      </c>
      <c r="F106" s="9" t="inlineStr">
        <is>
          <t>ElectronicsComp</t>
        </is>
      </c>
      <c r="G106" s="9" t="inlineStr">
        <is>
          <t>EC-IND-0R47</t>
        </is>
      </c>
      <c r="H106" s="10" t="n">
        <v>6.8</v>
      </c>
      <c r="I106" s="10">
        <f>E106*H106</f>
        <v/>
      </c>
      <c r="J106" s="11" t="inlineStr">
        <is>
          <t>Click to View Part</t>
        </is>
      </c>
    </row>
    <row r="107" ht="24" customHeight="1">
      <c r="D107" s="12" t="inlineStr">
        <is>
          <t>TOTAL BOM COST:</t>
        </is>
      </c>
      <c r="I107" s="13">
        <f>SUM(I5:I106)</f>
        <v/>
      </c>
    </row>
  </sheetData>
  <mergeCells count="2">
    <mergeCell ref="A2:H2"/>
    <mergeCell ref="A1:H1"/>
  </mergeCells>
  <hyperlinks>
    <hyperlink xmlns:r="http://schemas.openxmlformats.org/officeDocument/2006/relationships" ref="J5" r:id="rId1"/>
    <hyperlink xmlns:r="http://schemas.openxmlformats.org/officeDocument/2006/relationships" ref="J7" r:id="rId2"/>
    <hyperlink xmlns:r="http://schemas.openxmlformats.org/officeDocument/2006/relationships" ref="J8" r:id="rId3"/>
    <hyperlink xmlns:r="http://schemas.openxmlformats.org/officeDocument/2006/relationships" ref="J9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  <hyperlink xmlns:r="http://schemas.openxmlformats.org/officeDocument/2006/relationships" ref="J17" r:id="rId11"/>
    <hyperlink xmlns:r="http://schemas.openxmlformats.org/officeDocument/2006/relationships" ref="J18" r:id="rId12"/>
    <hyperlink xmlns:r="http://schemas.openxmlformats.org/officeDocument/2006/relationships" ref="J19" r:id="rId13"/>
    <hyperlink xmlns:r="http://schemas.openxmlformats.org/officeDocument/2006/relationships" ref="J20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3" r:id="rId17"/>
    <hyperlink xmlns:r="http://schemas.openxmlformats.org/officeDocument/2006/relationships" ref="J24" r:id="rId18"/>
    <hyperlink xmlns:r="http://schemas.openxmlformats.org/officeDocument/2006/relationships" ref="J25" r:id="rId19"/>
    <hyperlink xmlns:r="http://schemas.openxmlformats.org/officeDocument/2006/relationships" ref="J26" r:id="rId20"/>
    <hyperlink xmlns:r="http://schemas.openxmlformats.org/officeDocument/2006/relationships" ref="J27" r:id="rId21"/>
    <hyperlink xmlns:r="http://schemas.openxmlformats.org/officeDocument/2006/relationships" ref="J28" r:id="rId22"/>
    <hyperlink xmlns:r="http://schemas.openxmlformats.org/officeDocument/2006/relationships" ref="J29" r:id="rId23"/>
    <hyperlink xmlns:r="http://schemas.openxmlformats.org/officeDocument/2006/relationships" ref="J30" r:id="rId24"/>
    <hyperlink xmlns:r="http://schemas.openxmlformats.org/officeDocument/2006/relationships" ref="J31" r:id="rId25"/>
    <hyperlink xmlns:r="http://schemas.openxmlformats.org/officeDocument/2006/relationships" ref="J32" r:id="rId26"/>
    <hyperlink xmlns:r="http://schemas.openxmlformats.org/officeDocument/2006/relationships" ref="J33" r:id="rId27"/>
    <hyperlink xmlns:r="http://schemas.openxmlformats.org/officeDocument/2006/relationships" ref="J34" r:id="rId28"/>
    <hyperlink xmlns:r="http://schemas.openxmlformats.org/officeDocument/2006/relationships" ref="J35" r:id="rId29"/>
    <hyperlink xmlns:r="http://schemas.openxmlformats.org/officeDocument/2006/relationships" ref="J36" r:id="rId30"/>
    <hyperlink xmlns:r="http://schemas.openxmlformats.org/officeDocument/2006/relationships" ref="J37" r:id="rId31"/>
    <hyperlink xmlns:r="http://schemas.openxmlformats.org/officeDocument/2006/relationships" ref="J38" r:id="rId32"/>
    <hyperlink xmlns:r="http://schemas.openxmlformats.org/officeDocument/2006/relationships" ref="J39" r:id="rId33"/>
    <hyperlink xmlns:r="http://schemas.openxmlformats.org/officeDocument/2006/relationships" ref="J40" r:id="rId34"/>
    <hyperlink xmlns:r="http://schemas.openxmlformats.org/officeDocument/2006/relationships" ref="J41" r:id="rId35"/>
    <hyperlink xmlns:r="http://schemas.openxmlformats.org/officeDocument/2006/relationships" ref="J42" r:id="rId36"/>
    <hyperlink xmlns:r="http://schemas.openxmlformats.org/officeDocument/2006/relationships" ref="J43" r:id="rId37"/>
    <hyperlink xmlns:r="http://schemas.openxmlformats.org/officeDocument/2006/relationships" ref="J44" r:id="rId38"/>
    <hyperlink xmlns:r="http://schemas.openxmlformats.org/officeDocument/2006/relationships" ref="J45" r:id="rId39"/>
    <hyperlink xmlns:r="http://schemas.openxmlformats.org/officeDocument/2006/relationships" ref="J46" r:id="rId40"/>
    <hyperlink xmlns:r="http://schemas.openxmlformats.org/officeDocument/2006/relationships" ref="J47" r:id="rId41"/>
    <hyperlink xmlns:r="http://schemas.openxmlformats.org/officeDocument/2006/relationships" ref="J48" r:id="rId42"/>
    <hyperlink xmlns:r="http://schemas.openxmlformats.org/officeDocument/2006/relationships" ref="J49" r:id="rId43"/>
    <hyperlink xmlns:r="http://schemas.openxmlformats.org/officeDocument/2006/relationships" ref="J50" r:id="rId44"/>
    <hyperlink xmlns:r="http://schemas.openxmlformats.org/officeDocument/2006/relationships" ref="J51" r:id="rId45"/>
    <hyperlink xmlns:r="http://schemas.openxmlformats.org/officeDocument/2006/relationships" ref="J52" r:id="rId46"/>
    <hyperlink xmlns:r="http://schemas.openxmlformats.org/officeDocument/2006/relationships" ref="J53" r:id="rId47"/>
    <hyperlink xmlns:r="http://schemas.openxmlformats.org/officeDocument/2006/relationships" ref="J54" r:id="rId48"/>
    <hyperlink xmlns:r="http://schemas.openxmlformats.org/officeDocument/2006/relationships" ref="J55" r:id="rId49"/>
    <hyperlink xmlns:r="http://schemas.openxmlformats.org/officeDocument/2006/relationships" ref="J56" r:id="rId50"/>
    <hyperlink xmlns:r="http://schemas.openxmlformats.org/officeDocument/2006/relationships" ref="J57" r:id="rId51"/>
    <hyperlink xmlns:r="http://schemas.openxmlformats.org/officeDocument/2006/relationships" ref="J58" r:id="rId52"/>
    <hyperlink xmlns:r="http://schemas.openxmlformats.org/officeDocument/2006/relationships" ref="J59" r:id="rId53"/>
    <hyperlink xmlns:r="http://schemas.openxmlformats.org/officeDocument/2006/relationships" ref="J60" r:id="rId54"/>
    <hyperlink xmlns:r="http://schemas.openxmlformats.org/officeDocument/2006/relationships" ref="J61" r:id="rId55"/>
    <hyperlink xmlns:r="http://schemas.openxmlformats.org/officeDocument/2006/relationships" ref="J62" r:id="rId56"/>
    <hyperlink xmlns:r="http://schemas.openxmlformats.org/officeDocument/2006/relationships" ref="J63" r:id="rId57"/>
    <hyperlink xmlns:r="http://schemas.openxmlformats.org/officeDocument/2006/relationships" ref="J64" r:id="rId58"/>
    <hyperlink xmlns:r="http://schemas.openxmlformats.org/officeDocument/2006/relationships" ref="J65" r:id="rId59"/>
    <hyperlink xmlns:r="http://schemas.openxmlformats.org/officeDocument/2006/relationships" ref="J66" r:id="rId60"/>
    <hyperlink xmlns:r="http://schemas.openxmlformats.org/officeDocument/2006/relationships" ref="J67" r:id="rId61"/>
    <hyperlink xmlns:r="http://schemas.openxmlformats.org/officeDocument/2006/relationships" ref="J68" r:id="rId62"/>
    <hyperlink xmlns:r="http://schemas.openxmlformats.org/officeDocument/2006/relationships" ref="J69" r:id="rId63"/>
    <hyperlink xmlns:r="http://schemas.openxmlformats.org/officeDocument/2006/relationships" ref="J70" r:id="rId64"/>
    <hyperlink xmlns:r="http://schemas.openxmlformats.org/officeDocument/2006/relationships" ref="J71" r:id="rId65"/>
    <hyperlink xmlns:r="http://schemas.openxmlformats.org/officeDocument/2006/relationships" ref="J72" r:id="rId66"/>
    <hyperlink xmlns:r="http://schemas.openxmlformats.org/officeDocument/2006/relationships" ref="J73" r:id="rId67"/>
    <hyperlink xmlns:r="http://schemas.openxmlformats.org/officeDocument/2006/relationships" ref="J74" r:id="rId68"/>
    <hyperlink xmlns:r="http://schemas.openxmlformats.org/officeDocument/2006/relationships" ref="J75" r:id="rId69"/>
    <hyperlink xmlns:r="http://schemas.openxmlformats.org/officeDocument/2006/relationships" ref="J76" r:id="rId70"/>
    <hyperlink xmlns:r="http://schemas.openxmlformats.org/officeDocument/2006/relationships" ref="J78" r:id="rId71"/>
    <hyperlink xmlns:r="http://schemas.openxmlformats.org/officeDocument/2006/relationships" ref="J79" r:id="rId72"/>
    <hyperlink xmlns:r="http://schemas.openxmlformats.org/officeDocument/2006/relationships" ref="J80" r:id="rId73"/>
    <hyperlink xmlns:r="http://schemas.openxmlformats.org/officeDocument/2006/relationships" ref="J81" r:id="rId74"/>
    <hyperlink xmlns:r="http://schemas.openxmlformats.org/officeDocument/2006/relationships" ref="J82" r:id="rId75"/>
    <hyperlink xmlns:r="http://schemas.openxmlformats.org/officeDocument/2006/relationships" ref="J83" r:id="rId76"/>
    <hyperlink xmlns:r="http://schemas.openxmlformats.org/officeDocument/2006/relationships" ref="J84" r:id="rId77"/>
    <hyperlink xmlns:r="http://schemas.openxmlformats.org/officeDocument/2006/relationships" ref="J85" r:id="rId78"/>
    <hyperlink xmlns:r="http://schemas.openxmlformats.org/officeDocument/2006/relationships" ref="J86" r:id="rId79"/>
    <hyperlink xmlns:r="http://schemas.openxmlformats.org/officeDocument/2006/relationships" ref="J87" r:id="rId80"/>
    <hyperlink xmlns:r="http://schemas.openxmlformats.org/officeDocument/2006/relationships" ref="J88" r:id="rId81"/>
    <hyperlink xmlns:r="http://schemas.openxmlformats.org/officeDocument/2006/relationships" ref="J89" r:id="rId82"/>
    <hyperlink xmlns:r="http://schemas.openxmlformats.org/officeDocument/2006/relationships" ref="J90" r:id="rId83"/>
    <hyperlink xmlns:r="http://schemas.openxmlformats.org/officeDocument/2006/relationships" ref="J91" r:id="rId84"/>
    <hyperlink xmlns:r="http://schemas.openxmlformats.org/officeDocument/2006/relationships" ref="J92" r:id="rId85"/>
    <hyperlink xmlns:r="http://schemas.openxmlformats.org/officeDocument/2006/relationships" ref="J93" r:id="rId86"/>
    <hyperlink xmlns:r="http://schemas.openxmlformats.org/officeDocument/2006/relationships" ref="J94" r:id="rId87"/>
    <hyperlink xmlns:r="http://schemas.openxmlformats.org/officeDocument/2006/relationships" ref="J95" r:id="rId88"/>
    <hyperlink xmlns:r="http://schemas.openxmlformats.org/officeDocument/2006/relationships" ref="J96" r:id="rId89"/>
    <hyperlink xmlns:r="http://schemas.openxmlformats.org/officeDocument/2006/relationships" ref="J97" r:id="rId90"/>
    <hyperlink xmlns:r="http://schemas.openxmlformats.org/officeDocument/2006/relationships" ref="J98" r:id="rId91"/>
    <hyperlink xmlns:r="http://schemas.openxmlformats.org/officeDocument/2006/relationships" ref="J99" r:id="rId92"/>
    <hyperlink xmlns:r="http://schemas.openxmlformats.org/officeDocument/2006/relationships" ref="J100" r:id="rId93"/>
    <hyperlink xmlns:r="http://schemas.openxmlformats.org/officeDocument/2006/relationships" ref="J101" r:id="rId94"/>
    <hyperlink xmlns:r="http://schemas.openxmlformats.org/officeDocument/2006/relationships" ref="J102" r:id="rId95"/>
    <hyperlink xmlns:r="http://schemas.openxmlformats.org/officeDocument/2006/relationships" ref="J103" r:id="rId96"/>
    <hyperlink xmlns:r="http://schemas.openxmlformats.org/officeDocument/2006/relationships" ref="J104" r:id="rId97"/>
    <hyperlink xmlns:r="http://schemas.openxmlformats.org/officeDocument/2006/relationships" ref="J105" r:id="rId98"/>
    <hyperlink xmlns:r="http://schemas.openxmlformats.org/officeDocument/2006/relationships" ref="J106" r:id="rId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2026-09-30T12:06:40Z</dcterms:created>
  <dcterms:modified xsi:type="dcterms:W3CDTF">2026-09-30T12:06:40Z</dcterms:modified>
</cp:coreProperties>
</file>